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Summary" sheetId="1" r:id="rId5"/>
    <sheet state="visible" name="Sheet1" sheetId="2" r:id="rId6"/>
    <sheet state="visible" name="Tier2_MCU_Architecture_BOM" sheetId="3" r:id="rId7"/>
    <sheet state="visible" name="Tier3_EdgeAI_Architecture_BOM" sheetId="4" r:id="rId8"/>
    <sheet state="visible" name="Hardware_Block_Architectures" sheetId="5" r:id="rId9"/>
    <sheet state="visible" name="Store_Procurement_Directory" sheetId="6" r:id="rId10"/>
  </sheets>
  <definedNames/>
  <calcPr/>
</workbook>
</file>

<file path=xl/sharedStrings.xml><?xml version="1.0" encoding="utf-8"?>
<sst xmlns="http://schemas.openxmlformats.org/spreadsheetml/2006/main" count="559" uniqueCount="365">
  <si>
    <t>AI-POWERED MINE SAFETY &amp; RESCUE ROVER (SIH 2026)</t>
  </si>
  <si>
    <t>TIER 3: HIGH-PERFORMANCE ON-DEVICE EDGE-AI &amp; THERMAL RESCUE ROVER BOM</t>
  </si>
  <si>
    <t>TIER 2: EDGE-MCU / ESP32-S3 MINE SAFETY ROVER BILL OF MATERIALS</t>
  </si>
  <si>
    <t>PROJECT CHARTER &amp; DUAL-TIER TECHNICAL EVALUATION</t>
  </si>
  <si>
    <t>Item #</t>
  </si>
  <si>
    <t>OPERATIONAL ENVIRONMENT
Underground Coal Mines
(DGMS Safety Zone)</t>
  </si>
  <si>
    <t>Subsystem</t>
  </si>
  <si>
    <t>Component Name</t>
  </si>
  <si>
    <t>Manufacturer / Model</t>
  </si>
  <si>
    <t>Key Technical Specifications</t>
  </si>
  <si>
    <t>Unit Price (₹)</t>
  </si>
  <si>
    <t>Qty</t>
  </si>
  <si>
    <t>Total Cost (₹)</t>
  </si>
  <si>
    <t>Supplier Store</t>
  </si>
  <si>
    <t>MAX BUDGET CONSTRAINT
₹ 20,000.00 INR
(Strict SIH Cap)</t>
  </si>
  <si>
    <t>Verified Direct Product URL</t>
  </si>
  <si>
    <t>Role in Rover</t>
  </si>
  <si>
    <t>TIER 2 BUDGET
₹ 10,655.00 INR
(ESP32-S3 Edge-MCU)</t>
  </si>
  <si>
    <t>TIER 3 BUDGET
₹ 15,669.00 INR
(Pi Zero 2 W Edge-AI)</t>
  </si>
  <si>
    <t>Motors &amp; Drive</t>
  </si>
  <si>
    <t>12V 300RPM Metal Gear DC Motor</t>
  </si>
  <si>
    <t>ElectronicsComp / Grade A</t>
  </si>
  <si>
    <t>12V DC, 300 RPM, rated torque 1.2 kg-cm, stall torque 3.5 kg-cm, metal gears, D-shaft</t>
  </si>
  <si>
    <t>1. ARCHITECTURAL COMPARISON MATRIX</t>
  </si>
  <si>
    <t>12V DC, 300 RPM, rated torque 1.2 kg-cm, stall torque 3.5 kg-cm, 6mm center shaft with M3 hole</t>
  </si>
  <si>
    <t>Engineering Dimension</t>
  </si>
  <si>
    <t>Tier 2: Edge-MCU / ESP32-S3 Architecture</t>
  </si>
  <si>
    <t>Tier 3: Quad-Core Local Edge-AI Architecture</t>
  </si>
  <si>
    <t>Technical Advantage / Tradeoff Analysis</t>
  </si>
  <si>
    <t>Compute Core &amp; Architecture</t>
  </si>
  <si>
    <t>Espressif ESP32-S3-WROOM-N16R8 (Dual-Core Xtensa LX7 @ 240MHz, 16MB Flash, 8MB PSRAM, Vector AI Instructions)</t>
  </si>
  <si>
    <t>Raspberry Pi Zero 2 W (64-bit Quad-Core ARM Cortex-A53 @ 1GHz, 512MB RAM) + ESP32 Co-Processor</t>
  </si>
  <si>
    <t>Tier 3 executes full MobileNet-SSD / YOLOv8n-int8 local object detection @ 12 FPS; Tier 2 runs lightweight tinyML threshold models</t>
  </si>
  <si>
    <t>Thermal &amp; Vision System</t>
  </si>
  <si>
    <t>Ai Thinker OV2640 2MP Camera + Panasonic AMG8833 8x8 IR Grid-EYE Thermal Imager (64 thermal zones)</t>
  </si>
  <si>
    <t>5MP OV5647 Night Vision Camera (IR-Cut motorized filter + dual IR matrix LEDs) + MLX90640 (32x24 = 768 Thermal Pixels)</t>
  </si>
  <si>
    <t>Tier 3 provides 12x higher thermal resolution to spot trapped human body heat through thick coal dust and dense fire smoke</t>
  </si>
  <si>
    <t>ElectronicsComp</t>
  </si>
  <si>
    <t>Direct Buy Link</t>
  </si>
  <si>
    <t>Survivor Audio Intercom</t>
  </si>
  <si>
    <t>High-decibel acoustic piezo siren (105dB @ 1m) + Emergency strobe beacon</t>
  </si>
  <si>
    <t>Full-Duplex 2-Way Intercom: INMP441 I2S Digital Mic + PAM8403 3W Class-D Amp + 3W Enclosed Speaker Cavity</t>
  </si>
  <si>
    <t>Tier 3 allows rescue command to speak directly with trapped miners in real-time through underground rubble</t>
  </si>
  <si>
    <t>Multi-Gas Sensing Array</t>
  </si>
  <si>
    <t>MQ-4 (Methane CH4), MQ-7 (Carbon Monoxide CO), MQ-136 (Hydrogen Sulfide H2S), BME280 (Temp/Humidity/Baro)</t>
  </si>
  <si>
    <t>Identical certified 4-gas array covering explosive thresholds, toxic concentrations, and microclimate pressure changes</t>
  </si>
  <si>
    <t>Sub-GHz Wireless Telemetry</t>
  </si>
  <si>
    <t>EBYTE E22-900T22D SX1262 LoRa 868MHz UART Transceiver (22dBm, 5km range) + Base Station Node</t>
  </si>
  <si>
    <t>EBYTE E22-900T22D SX1262 LoRa 868MHz UART Transceiver (22dBm, 5km range) + Base Station Node + WiFi Hotspot</t>
  </si>
  <si>
    <t>LoRa penetrates rock and coal strata without cellular infrastructure; Tier 3 adds local WiFi streaming when rescuers are near</t>
  </si>
  <si>
    <t>Drive &amp; Motor Powertrain</t>
  </si>
  <si>
    <t>4x 12V 300 RPM Metal Gear DC Motors (1.2 kg-cm rated) + L298N Dual H-Bridge Driver + 85mm High-Grip Wheels</t>
  </si>
  <si>
    <t>4x 12V 300 RPM Metal Gear DC Motors + Double BTS7960 43A High-Power H-Bridge Driver + 85mm High-Grip Wheels</t>
  </si>
  <si>
    <t>Tier 3 BTS7960 driver delivers up to 43A peak current to power through loose coal debris without overheating</t>
  </si>
  <si>
    <t>Battery &amp; Power Subsystem</t>
  </si>
  <si>
    <t>3S 11.1V / 12.6V 2600mAh Li-ion 18650 Pack (3 Cells) + 3S 20A Auto-Balance BMS (Runtime: 3.5 Hours)</t>
  </si>
  <si>
    <t>3S2P 11.1V / 12.6V 5200mAh Li-ion 18650 Pack (6 Cells) + 3S 25A Auto-Balance BMS (Runtime: 4.8 Hours)</t>
  </si>
  <si>
    <t>Tier 3 dual-parallel battery configuration easily handles higher current draw from Pi Zero 2 W, thermal imager, and audio amplifier</t>
  </si>
  <si>
    <t>Total Verified Cost in INR</t>
  </si>
  <si>
    <t>HARDWARE BLOCK DIAGRAMS &amp; SYSTEM SIGNAL FLOW</t>
  </si>
  <si>
    <t>₹ 10,655.00 INR (46.7% Under ₹20k Budget Cap)</t>
  </si>
  <si>
    <t>₹ 15,669.00 INR (21.7% Under ₹20k Budget Cap)</t>
  </si>
  <si>
    <t>Both architectures strictly comply with the ₹15k - ₹20k budget constraint while using 100% verified Indian store components</t>
  </si>
  <si>
    <t>1. TIER 2: EDGE-MCU (ESP32-S3) COMPLETE SIGNAL &amp; INTERFACE MAP</t>
  </si>
  <si>
    <t>Subsystem Block</t>
  </si>
  <si>
    <t>Component</t>
  </si>
  <si>
    <t>Hardware Interface</t>
  </si>
  <si>
    <t>Bus / Pin Map</t>
  </si>
  <si>
    <t>Voltage Level</t>
  </si>
  <si>
    <t>4WD skid-steer propulsion across heavy mine debris</t>
  </si>
  <si>
    <t>Data Rate / Protocol</t>
  </si>
  <si>
    <t>Fail-Safe Mechanism</t>
  </si>
  <si>
    <t>Central Compute</t>
  </si>
  <si>
    <t>ESP32-S3-WROOM-N16R8</t>
  </si>
  <si>
    <t>Master MCU</t>
  </si>
  <si>
    <t>4WD skid-steer propulsion across rugged coal rubble</t>
  </si>
  <si>
    <t>Dual Core 240MHz</t>
  </si>
  <si>
    <t>3.3V (via LM2596 5V-&gt;3.3V LDO)</t>
  </si>
  <si>
    <t>Native Execution</t>
  </si>
  <si>
    <t>Hardware Watchdog Timer (WDT) 500ms</t>
  </si>
  <si>
    <t>Thermal Imager</t>
  </si>
  <si>
    <t>AMG8833 8x8 IR Array</t>
  </si>
  <si>
    <t>85mm High-Grip Robot Wheels &amp; Couplers</t>
  </si>
  <si>
    <t>I2C Bus</t>
  </si>
  <si>
    <t>MakerBazar / Quartz</t>
  </si>
  <si>
    <t>SDA (GPIO 21), SCL (GPIO 22)</t>
  </si>
  <si>
    <t>3.3V DC</t>
  </si>
  <si>
    <t>85mm rubber all-terrain tires + 4x 6mm brass hex shaft couplings</t>
  </si>
  <si>
    <t>400 kHz Fast-Mode I2C (10 FPS)</t>
  </si>
  <si>
    <t>Timeout reset on I2C bus hang</t>
  </si>
  <si>
    <t>Snapshot Vision</t>
  </si>
  <si>
    <t>Ai Thinker OV2640 Camera</t>
  </si>
  <si>
    <t>DVP Parallel Interface</t>
  </si>
  <si>
    <t>GPIO 19, 21, 22, 25, 23, 26, 27, etc.</t>
  </si>
  <si>
    <t>3.3V / 1.8V</t>
  </si>
  <si>
    <t>15 FPS JPEG Encoded Stream</t>
  </si>
  <si>
    <t>Auto-reinit on frame drop</t>
  </si>
  <si>
    <t>Multi-Gas Sensing</t>
  </si>
  <si>
    <t>MQ-4, MQ-7, MQ-136 Sensors</t>
  </si>
  <si>
    <t>Analog + GPIO Interrupt</t>
  </si>
  <si>
    <t>ADC1 (GPIO 1, 2, 3) + Dig Int (GPIO 4, 5, 6)</t>
  </si>
  <si>
    <t>5V (Sensor) / 3.3V (ADC Divider)</t>
  </si>
  <si>
    <t>100 Hz ADC Sampling</t>
  </si>
  <si>
    <t>Hardware Comparator Digital Threshold Alarm</t>
  </si>
  <si>
    <t>Microclimate</t>
  </si>
  <si>
    <t>BME280 Sensor</t>
  </si>
  <si>
    <t>SDA (GPIO 21), SCL (GPIO 22), Addr 0x76</t>
  </si>
  <si>
    <t>10 Hz Periodic Polling</t>
  </si>
  <si>
    <t>Cyclic Redundancy Check (CRC) verification</t>
  </si>
  <si>
    <t>Long-Range Wireless</t>
  </si>
  <si>
    <t>SX1262 LoRa UART (E22)</t>
  </si>
  <si>
    <t>UART Serial Bus</t>
  </si>
  <si>
    <t>TX (GPIO 17), RX (GPIO 18), AUX (GPIO 16)</t>
  </si>
  <si>
    <t>9600 bps UART / 868MHz RF @ 22dBm</t>
  </si>
  <si>
    <t>AES-128 Packet Encryption &amp; Auto-ACK Retries</t>
  </si>
  <si>
    <t>Drive Motors</t>
  </si>
  <si>
    <t>4x 12V 300RPM + L298N</t>
  </si>
  <si>
    <t>Hardware PWM Timers</t>
  </si>
  <si>
    <t>IN1-IN4 (GPIO 7, 8, 9, 10), ENA/ENB (GPIO 11, 12)</t>
  </si>
  <si>
    <t>12V (Motors) / 5V (Logic)</t>
  </si>
  <si>
    <t>20 kHz Ultrasonic PWM (No Whine)</t>
  </si>
  <si>
    <t>Auto-Stop on LoRa Heartbeat Loss (&gt;1.5s)</t>
  </si>
  <si>
    <t>Pan-Tilt Articulation</t>
  </si>
  <si>
    <t>2x MG90S Servos</t>
  </si>
  <si>
    <t>Hardware PWM</t>
  </si>
  <si>
    <t>Pan PWM (GPIO 13), Tilt PWM (GPIO 14)</t>
  </si>
  <si>
    <t>5V DC (Dedicated 3A Rail)</t>
  </si>
  <si>
    <t>50 Hz Servo PWM Pulse (1ms-2ms)</t>
  </si>
  <si>
    <t>Mechanical Angle Limits (0°-180° Clamped)</t>
  </si>
  <si>
    <t>2. TIER 3: HIGH-PERFORMANCE ON-DEVICE EDGE-AI DUAL-PROCESSOR ARCHITECTURE</t>
  </si>
  <si>
    <t>Primary Edge-AI Core</t>
  </si>
  <si>
    <t>Raspberry Pi Zero 2 W</t>
  </si>
  <si>
    <t>64-bit Quad-Core SBC</t>
  </si>
  <si>
    <t>Maximum surface traction on loose coal and flooded rock</t>
  </si>
  <si>
    <t>ARM Cortex-A53 @ 1.0GHz</t>
  </si>
  <si>
    <t>5.0V @ 2.5A (Dedicated Buck #1)</t>
  </si>
  <si>
    <t>MobileNet-SSD / YOLOv8n Local Inference</t>
  </si>
  <si>
    <t>Traction over wet coal sludge and steep inclines</t>
  </si>
  <si>
    <t>Dual-Watchdog &amp; Low-Voltage Brownout Protect</t>
  </si>
  <si>
    <t>Real-Time Co-Processor</t>
  </si>
  <si>
    <t>Double BTS7960 43A High-Power H-Bridge Driver</t>
  </si>
  <si>
    <t>ESP32 30-Pin NodeMCU</t>
  </si>
  <si>
    <t>Infineon / Quartz Components</t>
  </si>
  <si>
    <t>Co-Processor Core</t>
  </si>
  <si>
    <t>Dual Core 240MHz (UART Link to Pi Zero 2 W)</t>
  </si>
  <si>
    <t>Dual BTS7960 ICs, 43A peak current capacity, 6V-27V input, thermal &amp; short-circuit protection</t>
  </si>
  <si>
    <t>L298N Dual H-Bridge Motor Driver Module</t>
  </si>
  <si>
    <t>5.0V (Logic) / 3.3V (Chip)</t>
  </si>
  <si>
    <t>Quartz Components / ST L298N</t>
  </si>
  <si>
    <t>115,200 bps Inter-Processor Telemetry</t>
  </si>
  <si>
    <t>Dual H-Bridge, 2A per channel peak, 5V-35V input, onboard 5V regulator, flyback protection</t>
  </si>
  <si>
    <t>Independent Motor Cutoff on Command Freeze</t>
  </si>
  <si>
    <t>High-Res Thermal Vision</t>
  </si>
  <si>
    <t>MLX90640 32x24 IR Array</t>
  </si>
  <si>
    <t>Quartz Components</t>
  </si>
  <si>
    <t>I2C High-Speed Bus</t>
  </si>
  <si>
    <t>I2C-1 (SDA Pin 3, SCL Pin 5) on Pi Zero 2 W</t>
  </si>
  <si>
    <t>1 MHz Fast-Mode Plus (16 FPS)</t>
  </si>
  <si>
    <t>Dead-pixel interpolation algorithm</t>
  </si>
  <si>
    <t>Night Vision Camera</t>
  </si>
  <si>
    <t>5MP OV5647 IR-CUT</t>
  </si>
  <si>
    <t>MIPI CSI-2 Camera Bus</t>
  </si>
  <si>
    <t>15-pin FPC Ribbon Cable direct to Pi GPU</t>
  </si>
  <si>
    <t>3.3V / 1.8V (Internal)</t>
  </si>
  <si>
    <t>1080p @ 30 FPS Hardware Accelerated</t>
  </si>
  <si>
    <t>Auto-Exposure &amp; Day/Night IR-Cut Solenoid</t>
  </si>
  <si>
    <t>Survivor Audio (In)</t>
  </si>
  <si>
    <t>INMP441 Digital Microphone</t>
  </si>
  <si>
    <t>I2S Digital Audio Bus</t>
  </si>
  <si>
    <t>SCK (Pin 12), WS (Pin 35), SD (Pin 38)</t>
  </si>
  <si>
    <t>16-bit 16kHz PCM Audio Stream</t>
  </si>
  <si>
    <t>Digital Bandpass Filter (300Hz-3.4kHz Voice)</t>
  </si>
  <si>
    <t>Survivor Audio (Out)</t>
  </si>
  <si>
    <t>PAM8403 Amp + 3W Speaker</t>
  </si>
  <si>
    <t>Analog / PWM Audio</t>
  </si>
  <si>
    <t>GPIO 18 (PWM Audio Filtered) or USB DAC</t>
  </si>
  <si>
    <t>5.0V DC (Dedicated Rail)</t>
  </si>
  <si>
    <t>3W Class-D Amplified Speech</t>
  </si>
  <si>
    <t>Thermal shutdown &amp; anti-pop circuit</t>
  </si>
  <si>
    <t>MQ-4, MQ-7, MQ-136, BME280</t>
  </si>
  <si>
    <t>Analog ADC + I2C</t>
  </si>
  <si>
    <t>ESP32 ADC1 (Pins 32-35) + I2C (Pins 21-22)</t>
  </si>
  <si>
    <t>5.0V (Heaters) / 3.3V (BME)</t>
  </si>
  <si>
    <t>100 Hz Continuous Multi-Gas Sampling</t>
  </si>
  <si>
    <t>Local Threshold Siren &amp; LoRa Packet Broadcast</t>
  </si>
  <si>
    <t>Heavy-Duty Drive</t>
  </si>
  <si>
    <t>4x 12V 300RPM + BTS7960</t>
  </si>
  <si>
    <t>High-Current H-Bridge</t>
  </si>
  <si>
    <t>High-power motor driver capable of high stall currents without thermal throttle</t>
  </si>
  <si>
    <t>ESP32 RPWM/LPWM (Pins 25, 26, 27, 14)</t>
  </si>
  <si>
    <t>12V Battery Rail (43A Peak)</t>
  </si>
  <si>
    <t>25 kHz High-Frequency Motor Drive</t>
  </si>
  <si>
    <t>Over-Current Sensing &amp; Auto-Brake</t>
  </si>
  <si>
    <t>Controls 4WD motor speed and direction via PWM</t>
  </si>
  <si>
    <t>Structure</t>
  </si>
  <si>
    <t>4WD Heavy Duty Metal Robot Chassis Kit</t>
  </si>
  <si>
    <t>MakerBazar / Robot Heavy Duty</t>
  </si>
  <si>
    <t>UART Telemetry Link</t>
  </si>
  <si>
    <t>Industrial black powder-coated steel/aluminum chassis with multi-tier expansion decks</t>
  </si>
  <si>
    <t>ESP32 Serial2 (TX2 Pin 17, RX2 Pin 16)</t>
  </si>
  <si>
    <t>868MHz LoRa Spread Spectrum</t>
  </si>
  <si>
    <t>Point-to-Point Mesh Relay with Base Station</t>
  </si>
  <si>
    <t>Industrial black powder-coated steel/aluminum chassis with pre-drilled motor &amp; sensor mounts</t>
  </si>
  <si>
    <t>MakerBazar</t>
  </si>
  <si>
    <t>Rugged shock-resistant exoskeleton frame protecting Edge-AI SBC and sensors</t>
  </si>
  <si>
    <t>Primary Edge-AI SBC</t>
  </si>
  <si>
    <t>Raspberry Pi Zero 2 W (Quad-Core 64-bit ARM)</t>
  </si>
  <si>
    <t>Raspberry Pi Foundation / Silverline</t>
  </si>
  <si>
    <t>Structural foundation protecting internal electronics from rockfall</t>
  </si>
  <si>
    <t>Quad-Core 64-bit ARM Cortex-A53 @ 1.0GHz, 512MB LPDDR2 RAM, 2.4GHz WiFi, Bluetooth 4.2</t>
  </si>
  <si>
    <t>Compute &amp; Brain</t>
  </si>
  <si>
    <t>ESP32-S3-WROOM-N16R8 Development Board</t>
  </si>
  <si>
    <t>Espressif / Quartz</t>
  </si>
  <si>
    <t>Dual-Core Xtensa LX7 @ 240MHz, 16MB Flash, 8MB PSRAM, Vector AI Instructions, WiFi/BLE</t>
  </si>
  <si>
    <t>Silverline Electronics</t>
  </si>
  <si>
    <t>Central edge controller running sensor fusion and tinyML gas anomaly detection</t>
  </si>
  <si>
    <t>Vision</t>
  </si>
  <si>
    <t>Ai Thinker ESP32-CAM Board with OV2640</t>
  </si>
  <si>
    <t>Ai Thinker / ElectronicsComp</t>
  </si>
  <si>
    <t>2MP UXGA (1600x1200) Camera Module, 9-pin FPC, onboard flash LED, JPEG hardware encoder</t>
  </si>
  <si>
    <t>Executes local MobileNet-SSD / YOLOv8n-int8 object detection and audio processing</t>
  </si>
  <si>
    <t>Storage / OS</t>
  </si>
  <si>
    <t>SanDisk Ultra 32GB Class 10 MicroSD Card</t>
  </si>
  <si>
    <t>SanDisk / MakerBazar</t>
  </si>
  <si>
    <t>32GB UHS-I, 100 MB/s read speed, Class 10 A1 rated for fast random I/O application loading</t>
  </si>
  <si>
    <t>Captures snapshot visual inspection frames in mine tunnels</t>
  </si>
  <si>
    <t>Thermal Imaging</t>
  </si>
  <si>
    <t>AMG8833 8x8 IR Thermal Imager Array</t>
  </si>
  <si>
    <t>Panasonic / MakerBazar</t>
  </si>
  <si>
    <t>8x8 (64 pixels) Far-IR thermal matrix, 0°C to 80°C range, ±2.5°C accuracy, 10Hz frame rate, I2C</t>
  </si>
  <si>
    <t>Houses Raspberry Pi OS Lite, NCNN neural network models, and local telemetry logs</t>
  </si>
  <si>
    <t>ESP32 30-Pin CP2102 NodeMCU Development Board</t>
  </si>
  <si>
    <t>Espressif / Quartz Components</t>
  </si>
  <si>
    <t>Dual-Core Xtensa LX6 @ 240MHz, 520KB SRAM, 4MB Flash, hardware ADC, PWM motor timers</t>
  </si>
  <si>
    <t>Detects survivor body heat and spontaneous coal combustion hotspots</t>
  </si>
  <si>
    <t>Gas Sensing</t>
  </si>
  <si>
    <t>MQ-4 Methane (CH4) Gas Sensor Module</t>
  </si>
  <si>
    <t>Winsen / Quartz Components</t>
  </si>
  <si>
    <t>Detection: 200 - 10,000 ppm CH4/CNG, 5V DC, Dual Analog &amp; TTL Digital Output via LM393</t>
  </si>
  <si>
    <t>Dedicated real-time co-processor for sensor polling, ultrasonic safety, and motor PWM</t>
  </si>
  <si>
    <t>5MP OV5647 Night Vision IR-CUT Camera Module</t>
  </si>
  <si>
    <t>OmniVision / ElectronicsComp</t>
  </si>
  <si>
    <t>5MP (2592x1944), motorized mechanical IR-CUT filter switch, dual 3W 850nm IR LED illuminators</t>
  </si>
  <si>
    <t>Monitors explosive firedamp/methane accumulation</t>
  </si>
  <si>
    <t>MQ-7 Carbon Monoxide (CO) Sensor Module</t>
  </si>
  <si>
    <t>Winsen / MakerBazar</t>
  </si>
  <si>
    <t>Detection: 10 - 10,000 ppm CO, 5V DC, high-precision toxic gas monitoring with LM393 comparator</t>
  </si>
  <si>
    <t>Day/Night optical camera for clear vision in complete zero-lux darkness</t>
  </si>
  <si>
    <t>Detects toxic afterdamp from underground smoldering fires</t>
  </si>
  <si>
    <t>Waveshare MLX90640 32x24 IR Array Thermal Camera</t>
  </si>
  <si>
    <t>Melexis / ElectronicsComp</t>
  </si>
  <si>
    <t>MQ-136 Hydrogen Sulfide (H2S) Sensor</t>
  </si>
  <si>
    <t>Winsen / ElectronicsComp</t>
  </si>
  <si>
    <t>32x24 (768 pixels) Far-IR thermal matrix, -40°C to 300°C range, 110° wide FOV, 16Hz refresh, I2C</t>
  </si>
  <si>
    <t>Detection: 1 - 200 ppm H2S, SnO2 semiconductor element, 5V DC, analog + digital output</t>
  </si>
  <si>
    <t>Spot trapped miner body heat signatures through thick smoke and coal dust curtains</t>
  </si>
  <si>
    <t>Detects deadly stinkdamp gas released during flooding/excavation</t>
  </si>
  <si>
    <t>Survivor Audio (Mic)</t>
  </si>
  <si>
    <t>Environment</t>
  </si>
  <si>
    <t>INMP441 Omnidirectional Digital I2S Microphone</t>
  </si>
  <si>
    <t>GY-BME280-5V Temp, Humidity &amp; Pressure</t>
  </si>
  <si>
    <t>InvenSense / Robu.in</t>
  </si>
  <si>
    <t>Bosch / Quartz Components</t>
  </si>
  <si>
    <t>Digital I2S interface, 61 dBA SNR, -26 dBFS sensitivity, 60Hz-15kHz wide frequency response</t>
  </si>
  <si>
    <t>-40°C to +85°C, 0-100% RH, 300-1100 hPa barometric pressure, I2C interface (0x76)</t>
  </si>
  <si>
    <t>Robu.in</t>
  </si>
  <si>
    <t>Captures faint calls for help and tapping sounds from trapped survivors</t>
  </si>
  <si>
    <t>Survivor Audio (Speaker)</t>
  </si>
  <si>
    <t>PAM8403 3W Class-D Amp + 3W Enclosed Speaker</t>
  </si>
  <si>
    <t>ElectronicsComp / Quartz</t>
  </si>
  <si>
    <t>5V input, 3W+3W dual-channel Class-D digital amplifier + 3W 4-ohm acoustic cavity box speaker</t>
  </si>
  <si>
    <t>Monitors mine tunnel barometric pressure changes and humidity</t>
  </si>
  <si>
    <t>Comms</t>
  </si>
  <si>
    <t>EBYTE E22-900T22D SX1262 LoRa Module (Pair)</t>
  </si>
  <si>
    <t>EBYTE / Robu.in</t>
  </si>
  <si>
    <t>868MHz ISM band, 22dBm (160mW) TX power, 5km range, UART AT-command interface, FEC</t>
  </si>
  <si>
    <t>Broadcasts rescue command instructions clearly to trapped workers</t>
  </si>
  <si>
    <t>Long-range wireless telemetry link penetrating underground rock strata</t>
  </si>
  <si>
    <t>Navigation</t>
  </si>
  <si>
    <t>HC-SR04 Ultrasonic Distance Sensor</t>
  </si>
  <si>
    <t>Range: 2cm - 400cm, accuracy: 3mm, 5V DC, 15° beam angle, 4-pin header (Trig/Echo)</t>
  </si>
  <si>
    <t>Frontal collision avoidance in low-visibility smoke/dust</t>
  </si>
  <si>
    <t>Local Display</t>
  </si>
  <si>
    <t>0.96 Inch I2C 128x64 OLED Display (SSD1306)</t>
  </si>
  <si>
    <t>Solomon Systech / Quartz</t>
  </si>
  <si>
    <t>128x64 pixels, I2C 4-pin interface (0x3C), 3.3V-5V, high-contrast organic LED</t>
  </si>
  <si>
    <t>Displays real-time gas PPM, IP address, and battery voltage locally</t>
  </si>
  <si>
    <t>Pan-Tilt</t>
  </si>
  <si>
    <t>TowerPro MG90S Metal Gear Micro Servo</t>
  </si>
  <si>
    <t>TowerPro / ElectronicsComp</t>
  </si>
  <si>
    <t>Operating voltage: 4.8V-6V, stall torque: 2.2 kg-cm, metal gear train, 180° rotation</t>
  </si>
  <si>
    <t>VERIFIED INDIAN ELECTRONICS STORES PROCUREMENT DIRECTORY</t>
  </si>
  <si>
    <t>Store Name</t>
  </si>
  <si>
    <t>Direct Website</t>
  </si>
  <si>
    <t>Headquarters / Hub</t>
  </si>
  <si>
    <t>Primary Components Sourced</t>
  </si>
  <si>
    <t>Shipping &amp; In-Stock Status</t>
  </si>
  <si>
    <t>GST Invoicing Compliance</t>
  </si>
  <si>
    <t>ElectronicsComp.com</t>
  </si>
  <si>
    <t>Pan and tilt actuation for thermal and visual camera head</t>
  </si>
  <si>
    <t>https://www.electronicscomp.com</t>
  </si>
  <si>
    <t>2-DOF Pan-Tilt Camera Bracket Mount Kit</t>
  </si>
  <si>
    <t>MakerBazar / Nylon Kit</t>
  </si>
  <si>
    <t>2-Axis bracket kit engineered for SG90 / MG90S servos with mounting hardware</t>
  </si>
  <si>
    <t>Monitors atmospheric barometric pressure drops and tunnel humidity</t>
  </si>
  <si>
    <t>New Delhi / NCR, India</t>
  </si>
  <si>
    <t>Mechanical articulation mount for camera &amp; thermal sensor</t>
  </si>
  <si>
    <t>12V 300RPM DC Motors, BTS7960 43A Drivers, OV5647 Night Vision Cameras, MLX90640 Thermal Imager, MQ-136 H2S Sensors, MG90S Servos, PAM8403 Amplifiers</t>
  </si>
  <si>
    <t>Power Subsystem</t>
  </si>
  <si>
    <t>Same-Day Dispatch (Bluedart/DTDC), In-Stock Verified</t>
  </si>
  <si>
    <t>18650 3.7V 2600mAh Li-ion Battery Cells</t>
  </si>
  <si>
    <t>Full B2B GST Tax Invoice Available</t>
  </si>
  <si>
    <t>DMEGC / BAK / Robu.in</t>
  </si>
  <si>
    <t>3.7V nominal, 2600mAh capacity, 1C discharge rate, Grade-A cylindrical cell</t>
  </si>
  <si>
    <t>QuartzComponents.com</t>
  </si>
  <si>
    <t>https://quartzcomponents.com</t>
  </si>
  <si>
    <t>Provides 11.1V (28.86 Wh) power pack for rover operations</t>
  </si>
  <si>
    <t>3S 12V 25A 18650 BMS Protection Board</t>
  </si>
  <si>
    <t>Robu.in / Auto-Balance</t>
  </si>
  <si>
    <t>3-Series 11.1V-12.6V, 25A max discharge, overcharge, over-discharge &amp; short-circuit cutoff</t>
  </si>
  <si>
    <t>Jaipur, Rajasthan, India</t>
  </si>
  <si>
    <t>ESP32-S3 N16R8 Boards, ESP32 30-Pin Boards, MQ-4 Methane Sensors, BME280 Environmental Modules, HC-SR04 Ultrasonic Sensors, 0.96 OLED Displays, LM2596 Buck Converters, MG90S Servos</t>
  </si>
  <si>
    <t>Express 2-4 Day Delivery across India, In-Stock Verified</t>
  </si>
  <si>
    <t>MakerBazar.in</t>
  </si>
  <si>
    <t>https://makerbazar.in</t>
  </si>
  <si>
    <t>Guarantees safe cell balancing and prevents over-discharge</t>
  </si>
  <si>
    <t>New Delhi, India</t>
  </si>
  <si>
    <t>12.6V 1A 3S Li-ion Battery Charger Adapter</t>
  </si>
  <si>
    <t>MakerBazar / Robu.in</t>
  </si>
  <si>
    <t>4WD Heavy Duty Robot Chassis, 85mm All-Terrain Rubber Wheels with Hex Couplings, 2-DOF Pan-Tilt Bracket Kits, AMG8833 8x8 Thermal Modules, MQ-7 Carbon Monoxide Sensors, 12.6V 2A Li-ion Chargers</t>
  </si>
  <si>
    <t>Input: 100-240V AC, Output: 12.6V DC @ 1A, CC/CV charging profile, DC 5.5mm barrel jack</t>
  </si>
  <si>
    <t>Standard Courier 3-5 Days Delivery, In-Stock Verified</t>
  </si>
  <si>
    <t>https://robu.in</t>
  </si>
  <si>
    <t>Pune, Maharashtra, India</t>
  </si>
  <si>
    <t>EBYTE E22-900T22D SX1262 LoRa 868MHz Modules, DMEGC/BAK 18650 2600mAh Li-ion Cells, 3S 25A Auto-Balance BMS Protection Boards, INMP441 I2S Digital Microphones, MQ-136 Sensors</t>
  </si>
  <si>
    <t>Same-Day Dispatch, Official Distributor, In-Stock Verified</t>
  </si>
  <si>
    <t>https://www.silverlineelectronics.in</t>
  </si>
  <si>
    <t>Safe wall charger for 3S 18650 battery pack</t>
  </si>
  <si>
    <t>LM2596 DC-DC Step Down Buck Converter</t>
  </si>
  <si>
    <t>Texas Instruments / Quartz</t>
  </si>
  <si>
    <t>Input: 4V-35V, Output: 1.25V-30V adjustable @ 3A max, 150kHz switching frequency</t>
  </si>
  <si>
    <t>Pan and tilt actuation for night-vision camera &amp; MLX90640 thermal imager</t>
  </si>
  <si>
    <t>Bangalore, Karnataka, India</t>
  </si>
  <si>
    <t>Raspberry Pi Zero 2 W Single Board Computer (Official Channel Partner in India), Raspberry Pi Official Accessories</t>
  </si>
  <si>
    <t>Express Air Shipping across India, In-Stock Verified</t>
  </si>
  <si>
    <t>Approved Raspberry Pi Partner GST Invoice</t>
  </si>
  <si>
    <t>Regulates 11.1V battery down to ultra-stable 5.0V for MCU and sensors</t>
  </si>
  <si>
    <t>Audio / Alarm</t>
  </si>
  <si>
    <t>5V Active Alarm Buzzer + 12V Searchlight LED</t>
  </si>
  <si>
    <t>105dB @ 10cm active buzzer + 12V 3W high-flux white LED searchlight array</t>
  </si>
  <si>
    <t>18650 3.7V 2600mAh Li-ion Cells (6 Cells 3S2P)</t>
  </si>
  <si>
    <t>3.7V nominal, 2600mAh per cell, 3S2P configuration = 11.1V nominal @ 5200mAh (57.72 Wh)</t>
  </si>
  <si>
    <t>Extended high-capacity power pack providing up to 4.8 hours of continuous operation</t>
  </si>
  <si>
    <t>Acoustic and optical locator beacon for trapped miners</t>
  </si>
  <si>
    <t>TOTAL TIER 2 SYSTEM BOM COST (INR)</t>
  </si>
  <si>
    <t>3-Series 11.1V-12.6V, 25A continuous discharge, overcharge, over-discharge &amp; short-circuit cutoff</t>
  </si>
  <si>
    <t>12.6V 2A Fast 3S Li-ion Battery Charger Adapter</t>
  </si>
  <si>
    <t>Input: 100-240V AC, Output: 12.6V DC @ 2A fast charge, CC/CV profile, DC 5.5mm barrel jack</t>
  </si>
  <si>
    <t>100% IN-BUDGET (₹ 9,345.00 Remaining from ₹ 20,000 Cap)</t>
  </si>
  <si>
    <t>Rapid recharge adapter for 5200mAh 3S2P battery pack</t>
  </si>
  <si>
    <t>Dual LM2596 DC-DC Step Down Buck Converters</t>
  </si>
  <si>
    <t>Input: 4V-35V, Output: 5V @ 3A max (Dedicated for Pi Zero 2 W) + 5V @ 3A (Sensors/Audio)</t>
  </si>
  <si>
    <t>Independent isolated voltage regulators preventing electrical noise coupling</t>
  </si>
  <si>
    <t>TOTAL TIER 3 SYSTEM BOM COST (INR)</t>
  </si>
  <si>
    <t>100% IN-BUDGET (₹ 4,331.00 Remaining from ₹ 20,000 Cap)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</si>
</sst>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 #,##0.00"/>
  </numFmts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2.0"/>
      <color rgb="FF1F4068"/>
      <name val="Arial"/>
    </font>
    <font>
      <b/>
      <sz val="10.0"/>
      <color rgb="FFFFFFFF"/>
      <name val="Arial"/>
    </font>
    <font>
      <b/>
      <sz val="10.0"/>
      <color rgb="FF1E293B"/>
      <name val="Arial"/>
    </font>
    <font>
      <sz val="9.0"/>
      <color rgb="FF1E293B"/>
      <name val="Arial"/>
    </font>
    <font>
      <color theme="1"/>
      <name val="Calibri"/>
      <scheme val="minor"/>
    </font>
    <font>
      <u/>
      <sz val="9.0"/>
      <color rgb="FF0056B3"/>
      <name val="Arial"/>
    </font>
    <font>
      <u/>
      <sz val="9.0"/>
      <color rgb="FF0056B3"/>
      <name val="Arial"/>
    </font>
    <font>
      <u/>
      <sz val="9.0"/>
      <color rgb="FF0056B3"/>
      <name val="Arial"/>
    </font>
    <font>
      <u/>
      <sz val="9.0"/>
      <color rgb="FF0056B3"/>
      <name val="Arial"/>
    </font>
    <font>
      <u/>
      <sz val="9.0"/>
      <color rgb="FF0056B3"/>
      <name val="Arial"/>
    </font>
    <font>
      <u/>
      <sz val="9.0"/>
      <color rgb="FF0056B3"/>
      <name val="Arial"/>
    </font>
    <font>
      <sz val="11.0"/>
      <color theme="1"/>
      <name val="Calibri"/>
    </font>
    <font>
      <b/>
      <sz val="11.0"/>
      <color rgb="FF008000"/>
      <name val="Arial"/>
    </font>
    <font>
      <u/>
      <sz val="9.0"/>
      <color rgb="FF0056B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A192F"/>
        <bgColor rgb="FF0A192F"/>
      </patternFill>
    </fill>
    <fill>
      <patternFill patternType="solid">
        <fgColor rgb="FF028090"/>
        <bgColor rgb="FF028090"/>
      </patternFill>
    </fill>
    <fill>
      <patternFill patternType="solid">
        <fgColor rgb="FF1F4068"/>
        <bgColor rgb="FF1F4068"/>
      </patternFill>
    </fill>
    <fill>
      <patternFill patternType="solid">
        <fgColor rgb="FFEDF2F7"/>
        <bgColor rgb="FFEDF2F7"/>
      </patternFill>
    </fill>
    <fill>
      <patternFill patternType="solid">
        <fgColor rgb="FFFF0000"/>
        <bgColor rgb="FFFF0000"/>
      </patternFill>
    </fill>
    <fill>
      <patternFill patternType="solid">
        <fgColor rgb="FFF4F7FA"/>
        <bgColor rgb="FFF4F7FA"/>
      </patternFill>
    </fill>
    <fill>
      <patternFill patternType="solid">
        <fgColor rgb="FF00FF00"/>
        <bgColor rgb="FF00FF00"/>
      </patternFill>
    </fill>
    <fill>
      <patternFill patternType="solid">
        <fgColor rgb="FFE2E8F0"/>
        <bgColor rgb="FFE2E8F0"/>
      </patternFill>
    </fill>
    <fill>
      <patternFill patternType="solid">
        <fgColor rgb="FFFFFF00"/>
        <bgColor rgb="FFFFFF00"/>
      </patternFill>
    </fill>
  </fills>
  <borders count="1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0D7DE"/>
      </left>
      <right style="thin">
        <color rgb="FFD0D7DE"/>
      </right>
      <top style="medium">
        <color rgb="FF1F4068"/>
      </top>
      <bottom style="medium">
        <color rgb="FF1F4068"/>
      </bottom>
    </border>
    <border>
      <left style="thin">
        <color rgb="FFD0D7DE"/>
      </left>
      <top style="thin">
        <color rgb="FFD0D7DE"/>
      </top>
    </border>
    <border>
      <right style="thin">
        <color rgb="FFD0D7DE"/>
      </right>
      <top style="thin">
        <color rgb="FFD0D7DE"/>
      </top>
    </border>
    <border>
      <left style="thin">
        <color rgb="FFD0D7DE"/>
      </left>
      <right style="thin">
        <color rgb="FFD0D7DE"/>
      </right>
      <top style="thin">
        <color rgb="FFD0D7DE"/>
      </top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bottom style="thin">
        <color rgb="FFD0D7DE"/>
      </bottom>
    </border>
    <border>
      <right style="thin">
        <color rgb="FFD0D7DE"/>
      </right>
      <bottom style="thin">
        <color rgb="FFD0D7DE"/>
      </bottom>
    </border>
    <border>
      <left style="thin">
        <color rgb="FFD0D7DE"/>
      </left>
      <right style="thin">
        <color rgb="FFD0D7DE"/>
      </right>
      <bottom style="thin">
        <color rgb="FFD0D7DE"/>
      </bottom>
    </border>
    <border>
      <left style="thin">
        <color rgb="FFD0D7DE"/>
      </left>
      <top style="thin">
        <color rgb="FFD0D7DE"/>
      </top>
      <bottom style="double">
        <color rgb="FF1F4068"/>
      </bottom>
    </border>
    <border>
      <top style="thin">
        <color rgb="FFD0D7DE"/>
      </top>
      <bottom style="double">
        <color rgb="FF1F4068"/>
      </bottom>
    </border>
    <border>
      <right style="thin">
        <color rgb="FFD0D7DE"/>
      </right>
      <top style="thin">
        <color rgb="FFD0D7DE"/>
      </top>
      <bottom style="double">
        <color rgb="FF1F4068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double">
        <color rgb="FF1F4068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4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4" numFmtId="0" xfId="0" applyAlignment="1" applyBorder="1" applyFill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5" fontId="5" numFmtId="0" xfId="0" applyAlignment="1" applyBorder="1" applyFill="1" applyFont="1">
      <alignment horizontal="center" shrinkToFit="0" vertical="center" wrapText="1"/>
    </xf>
    <xf borderId="11" fillId="6" fontId="5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1" fillId="6" fontId="6" numFmtId="0" xfId="0" applyAlignment="1" applyBorder="1" applyFill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4" fillId="0" fontId="2" numFmtId="0" xfId="0" applyBorder="1" applyFont="1"/>
    <xf borderId="11" fillId="6" fontId="6" numFmtId="0" xfId="0" applyAlignment="1" applyBorder="1" applyFill="1" applyFont="1">
      <alignment horizontal="left" shrinkToFit="0" vertical="center" wrapText="1"/>
    </xf>
    <xf borderId="11" fillId="0" fontId="6" numFmtId="0" xfId="0" applyAlignment="1" applyBorder="1" applyFont="1">
      <alignment horizontal="left" vertical="center"/>
    </xf>
    <xf borderId="11" fillId="6" fontId="6" numFmtId="164" xfId="0" applyAlignment="1" applyBorder="1" applyFill="1" applyFont="1" applyNumberFormat="1">
      <alignment horizontal="right" vertical="center"/>
    </xf>
    <xf borderId="11" fillId="0" fontId="6" numFmtId="0" xfId="0" applyAlignment="1" applyBorder="1" applyFont="1">
      <alignment horizontal="left" shrinkToFit="0" vertical="center" wrapText="1"/>
    </xf>
    <xf borderId="11" fillId="6" fontId="6" numFmtId="0" xfId="0" applyAlignment="1" applyBorder="1" applyFill="1" applyFont="1">
      <alignment horizontal="center" vertical="center"/>
    </xf>
    <xf borderId="11" fillId="0" fontId="6" numFmtId="164" xfId="0" applyAlignment="1" applyBorder="1" applyFont="1" applyNumberFormat="1">
      <alignment horizontal="right" vertical="center"/>
    </xf>
    <xf borderId="11" fillId="0" fontId="5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1" fillId="7" fontId="5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left" shrinkToFit="0" vertical="center" wrapText="1"/>
    </xf>
    <xf borderId="11" fillId="6" fontId="5" numFmtId="164" xfId="0" applyAlignment="1" applyBorder="1" applyFill="1" applyFont="1" applyNumberFormat="1">
      <alignment horizontal="right" vertical="center"/>
    </xf>
    <xf borderId="11" fillId="0" fontId="5" numFmtId="164" xfId="0" applyAlignment="1" applyBorder="1" applyFont="1" applyNumberFormat="1">
      <alignment horizontal="right" vertical="center"/>
    </xf>
    <xf borderId="11" fillId="8" fontId="5" numFmtId="0" xfId="0" applyAlignment="1" applyBorder="1" applyFill="1" applyFont="1">
      <alignment horizontal="center" shrinkToFit="0" vertical="center" wrapText="1"/>
    </xf>
    <xf borderId="11" fillId="8" fontId="6" numFmtId="0" xfId="0" applyAlignment="1" applyBorder="1" applyFill="1" applyFont="1">
      <alignment horizontal="left" shrinkToFit="0" vertical="center" wrapText="1"/>
    </xf>
    <xf borderId="0" fillId="8" fontId="7" numFmtId="0" xfId="0" applyFill="1" applyFont="1"/>
    <xf borderId="7" fillId="4" fontId="4" numFmtId="0" xfId="0" applyAlignment="1" applyBorder="1" applyFill="1" applyFont="1">
      <alignment horizontal="center" vertical="center"/>
    </xf>
    <xf borderId="11" fillId="6" fontId="8" numFmtId="0" xfId="0" applyAlignment="1" applyBorder="1" applyFill="1" applyFont="1">
      <alignment horizontal="center" vertical="center"/>
    </xf>
    <xf borderId="0" fillId="6" fontId="7" numFmtId="0" xfId="0" applyFill="1" applyFont="1"/>
    <xf borderId="11" fillId="7" fontId="5" numFmtId="0" xfId="0" applyAlignment="1" applyBorder="1" applyFill="1" applyFont="1">
      <alignment horizontal="left" shrinkToFit="0" vertical="center" wrapText="1"/>
    </xf>
    <xf borderId="11" fillId="0" fontId="9" numFmtId="0" xfId="0" applyAlignment="1" applyBorder="1" applyFont="1">
      <alignment horizontal="center" vertical="center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5" numFmtId="0" xfId="0" applyAlignment="1" applyBorder="1" applyFill="1" applyFont="1">
      <alignment horizontal="center" vertical="center"/>
    </xf>
    <xf borderId="11" fillId="0" fontId="5" numFmtId="0" xfId="0" applyAlignment="1" applyBorder="1" applyFont="1">
      <alignment horizontal="left" shrinkToFit="0" vertical="center" wrapText="1"/>
    </xf>
    <xf borderId="11" fillId="7" fontId="6" numFmtId="0" xfId="0" applyAlignment="1" applyBorder="1" applyFill="1" applyFont="1">
      <alignment horizontal="left" vertical="center"/>
    </xf>
    <xf borderId="11" fillId="0" fontId="6" numFmtId="0" xfId="0" applyAlignment="1" applyBorder="1" applyFont="1">
      <alignment horizontal="center" shrinkToFit="0" vertical="center" wrapText="1"/>
    </xf>
    <xf borderId="11" fillId="7" fontId="6" numFmtId="164" xfId="0" applyAlignment="1" applyBorder="1" applyFill="1" applyFont="1" applyNumberFormat="1">
      <alignment horizontal="right" vertical="center"/>
    </xf>
    <xf borderId="11" fillId="7" fontId="6" numFmtId="0" xfId="0" applyAlignment="1" applyBorder="1" applyFill="1" applyFont="1">
      <alignment horizontal="center" vertical="center"/>
    </xf>
    <xf borderId="11" fillId="7" fontId="5" numFmtId="164" xfId="0" applyAlignment="1" applyBorder="1" applyFill="1" applyFont="1" applyNumberFormat="1">
      <alignment horizontal="right" vertical="center"/>
    </xf>
    <xf borderId="7" fillId="3" fontId="4" numFmtId="0" xfId="0" applyAlignment="1" applyBorder="1" applyFill="1" applyFont="1">
      <alignment horizontal="center" vertical="center"/>
    </xf>
    <xf borderId="11" fillId="7" fontId="10" numFmtId="0" xfId="0" applyAlignment="1" applyBorder="1" applyFill="1" applyFont="1">
      <alignment horizontal="center" vertical="center"/>
    </xf>
    <xf borderId="11" fillId="8" fontId="5" numFmtId="0" xfId="0" applyAlignment="1" applyBorder="1" applyFill="1" applyFont="1">
      <alignment horizontal="center" vertical="center"/>
    </xf>
    <xf borderId="11" fillId="8" fontId="6" numFmtId="0" xfId="0" applyAlignment="1" applyBorder="1" applyFill="1" applyFont="1">
      <alignment horizontal="left" vertical="center"/>
    </xf>
    <xf borderId="11" fillId="8" fontId="6" numFmtId="164" xfId="0" applyAlignment="1" applyBorder="1" applyFill="1" applyFont="1" applyNumberFormat="1">
      <alignment horizontal="right" vertical="center"/>
    </xf>
    <xf borderId="11" fillId="8" fontId="6" numFmtId="0" xfId="0" applyAlignment="1" applyBorder="1" applyFill="1" applyFont="1">
      <alignment horizontal="center" vertical="center"/>
    </xf>
    <xf borderId="11" fillId="8" fontId="5" numFmtId="164" xfId="0" applyAlignment="1" applyBorder="1" applyFill="1" applyFont="1" applyNumberFormat="1">
      <alignment horizontal="right" vertical="center"/>
    </xf>
    <xf borderId="11" fillId="8" fontId="11" numFmtId="0" xfId="0" applyAlignment="1" applyBorder="1" applyFill="1" applyFont="1">
      <alignment horizontal="center" vertical="center"/>
    </xf>
    <xf borderId="11" fillId="0" fontId="12" numFmtId="0" xfId="0" applyAlignment="1" applyBorder="1" applyFont="1">
      <alignment horizontal="center" shrinkToFit="0" vertical="center" wrapText="1"/>
    </xf>
    <xf borderId="11" fillId="7" fontId="13" numFmtId="0" xfId="0" applyAlignment="1" applyBorder="1" applyFill="1" applyFont="1">
      <alignment horizontal="center" shrinkToFit="0" vertical="center" wrapText="1"/>
    </xf>
    <xf borderId="15" fillId="9" fontId="5" numFmtId="0" xfId="0" applyAlignment="1" applyBorder="1" applyFill="1" applyFont="1">
      <alignment horizontal="right" vertical="center"/>
    </xf>
    <xf borderId="16" fillId="0" fontId="2" numFmtId="0" xfId="0" applyBorder="1" applyFont="1"/>
    <xf borderId="17" fillId="0" fontId="2" numFmtId="0" xfId="0" applyBorder="1" applyFont="1"/>
    <xf borderId="18" fillId="9" fontId="14" numFmtId="0" xfId="0" applyBorder="1" applyFill="1" applyFont="1"/>
    <xf borderId="18" fillId="9" fontId="5" numFmtId="0" xfId="0" applyAlignment="1" applyBorder="1" applyFill="1" applyFont="1">
      <alignment horizontal="center" vertical="center"/>
    </xf>
    <xf borderId="18" fillId="9" fontId="15" numFmtId="164" xfId="0" applyAlignment="1" applyBorder="1" applyFill="1" applyFont="1" applyNumberFormat="1">
      <alignment horizontal="right" vertical="center"/>
    </xf>
    <xf borderId="15" fillId="9" fontId="5" numFmtId="0" xfId="0" applyAlignment="1" applyBorder="1" applyFill="1" applyFont="1">
      <alignment horizontal="center" vertical="center"/>
    </xf>
    <xf borderId="11" fillId="10" fontId="5" numFmtId="0" xfId="0" applyAlignment="1" applyBorder="1" applyFill="1" applyFont="1">
      <alignment horizontal="center" vertical="center"/>
    </xf>
    <xf borderId="11" fillId="10" fontId="6" numFmtId="0" xfId="0" applyAlignment="1" applyBorder="1" applyFill="1" applyFont="1">
      <alignment horizontal="left" vertical="center"/>
    </xf>
    <xf borderId="11" fillId="10" fontId="6" numFmtId="0" xfId="0" applyAlignment="1" applyBorder="1" applyFill="1" applyFont="1">
      <alignment horizontal="left" shrinkToFit="0" vertical="center" wrapText="1"/>
    </xf>
    <xf borderId="11" fillId="10" fontId="6" numFmtId="164" xfId="0" applyAlignment="1" applyBorder="1" applyFill="1" applyFont="1" applyNumberFormat="1">
      <alignment horizontal="right" vertical="center"/>
    </xf>
    <xf borderId="11" fillId="10" fontId="6" numFmtId="0" xfId="0" applyAlignment="1" applyBorder="1" applyFill="1" applyFont="1">
      <alignment horizontal="center" vertical="center"/>
    </xf>
    <xf borderId="11" fillId="10" fontId="5" numFmtId="164" xfId="0" applyAlignment="1" applyBorder="1" applyFill="1" applyFont="1" applyNumberFormat="1">
      <alignment horizontal="right" vertical="center"/>
    </xf>
    <xf borderId="11" fillId="10" fontId="16" numFmtId="0" xfId="0" applyAlignment="1" applyBorder="1" applyFill="1" applyFont="1">
      <alignment horizontal="center" vertical="center"/>
    </xf>
    <xf borderId="0" fillId="10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quartzcomponents.com/products/lm2596-step-down-module" TargetMode="External"/><Relationship Id="rId11" Type="http://schemas.openxmlformats.org/officeDocument/2006/relationships/hyperlink" Target="https://quartzcomponents.com/products/gy-bme280-5v-temperature-and-humidity-sensor-module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electronicscomp.com/mq-136-hydrogen-sulfide-gas-sensor" TargetMode="External"/><Relationship Id="rId21" Type="http://schemas.openxmlformats.org/officeDocument/2006/relationships/hyperlink" Target="https://quartzcomponents.com/products/5v-active-buzzer-module" TargetMode="External"/><Relationship Id="rId13" Type="http://schemas.openxmlformats.org/officeDocument/2006/relationships/hyperlink" Target="https://quartzcomponents.com/products/hc-sr04-ultrasonic-sensor-module" TargetMode="External"/><Relationship Id="rId12" Type="http://schemas.openxmlformats.org/officeDocument/2006/relationships/hyperlink" Target="https://robu.in/product/ebyte-e22-900t22d-v2-sx1262-lora-868mhz-wireless-module-uart-22dbm-5km-long-range-fec-sma-k-antenna-rf-wireless-transmitter/" TargetMode="External"/><Relationship Id="rId1" Type="http://schemas.openxmlformats.org/officeDocument/2006/relationships/hyperlink" Target="https://www.electronicscomp.com/300rpm-12v-low-noise-dc-motor-with-metal-gears-grade-a" TargetMode="External"/><Relationship Id="rId2" Type="http://schemas.openxmlformats.org/officeDocument/2006/relationships/hyperlink" Target="https://makerbazar.in/products/85mm-smart-car-robot-wheel-with-hex-coupling" TargetMode="External"/><Relationship Id="rId3" Type="http://schemas.openxmlformats.org/officeDocument/2006/relationships/hyperlink" Target="https://quartzcomponents.com/products/l298n-2a-based-motor-driver-module" TargetMode="External"/><Relationship Id="rId4" Type="http://schemas.openxmlformats.org/officeDocument/2006/relationships/hyperlink" Target="https://makerbazar.in/products/heavy-duty-4wd-metal-robot-chassis" TargetMode="External"/><Relationship Id="rId9" Type="http://schemas.openxmlformats.org/officeDocument/2006/relationships/hyperlink" Target="https://makerbazar.in/products/mq-air-quality-gas-sensor-module?variant=48251074707696" TargetMode="External"/><Relationship Id="rId15" Type="http://schemas.openxmlformats.org/officeDocument/2006/relationships/hyperlink" Target="https://www.electronicscomp.com/tower-pro-mg90s-metal-geared-micro-servo-motor" TargetMode="External"/><Relationship Id="rId14" Type="http://schemas.openxmlformats.org/officeDocument/2006/relationships/hyperlink" Target="https://quartzcomponents.com/products/oled-display-0-96-inch-i2c-interface-4-pin-blue-ssd1306" TargetMode="External"/><Relationship Id="rId17" Type="http://schemas.openxmlformats.org/officeDocument/2006/relationships/hyperlink" Target="https://robu.in/product/dmegc-inr18650-26e-3-7v-2600mah-li-ion-battery/" TargetMode="External"/><Relationship Id="rId16" Type="http://schemas.openxmlformats.org/officeDocument/2006/relationships/hyperlink" Target="https://makerbazar.in/products/2-dof-pan-tilt-camera-bracket-kit" TargetMode="External"/><Relationship Id="rId5" Type="http://schemas.openxmlformats.org/officeDocument/2006/relationships/hyperlink" Target="https://quartzcomponents.com/products/esp32-s3-wroom-n16r8-dual-c-type-usb-development-board-wifi-bluetooth-module" TargetMode="External"/><Relationship Id="rId19" Type="http://schemas.openxmlformats.org/officeDocument/2006/relationships/hyperlink" Target="https://makerbazar.in/products/12-6v-1a-3s-lithium-battery-charger" TargetMode="External"/><Relationship Id="rId6" Type="http://schemas.openxmlformats.org/officeDocument/2006/relationships/hyperlink" Target="https://www.electronicscomp.com/ai-thinker-esp32-cam-development-board-wifi-bluetooth-with-ov2640-camera-module" TargetMode="External"/><Relationship Id="rId18" Type="http://schemas.openxmlformats.org/officeDocument/2006/relationships/hyperlink" Target="https://robu.in/product/3s-12v-25a-18650-lithium-battery-protection-board/" TargetMode="External"/><Relationship Id="rId7" Type="http://schemas.openxmlformats.org/officeDocument/2006/relationships/hyperlink" Target="https://makerbazar.in/products/amg8835-8x8-ir-thermal-camera-sensor-module" TargetMode="External"/><Relationship Id="rId8" Type="http://schemas.openxmlformats.org/officeDocument/2006/relationships/hyperlink" Target="https://quartzcomponents.com/products/mq-4-gas-sensor-modul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robu.in/product/dmegc-inr18650-26e-3-7v-2600mah-li-ion-battery/" TargetMode="External"/><Relationship Id="rId22" Type="http://schemas.openxmlformats.org/officeDocument/2006/relationships/hyperlink" Target="https://makerbazar.in/products/12-6v-1a-3s-lithium-battery-charger" TargetMode="External"/><Relationship Id="rId21" Type="http://schemas.openxmlformats.org/officeDocument/2006/relationships/hyperlink" Target="https://robu.in/product/3s-12v-25a-18650-lithium-battery-protection-board/" TargetMode="External"/><Relationship Id="rId24" Type="http://schemas.openxmlformats.org/officeDocument/2006/relationships/hyperlink" Target="https://quartzcomponents.com/products/5v-active-buzzer-module" TargetMode="External"/><Relationship Id="rId23" Type="http://schemas.openxmlformats.org/officeDocument/2006/relationships/hyperlink" Target="https://quartzcomponents.com/products/lm2596-step-down-module" TargetMode="External"/><Relationship Id="rId1" Type="http://schemas.openxmlformats.org/officeDocument/2006/relationships/hyperlink" Target="https://www.electronicscomp.com/300rpm-12v-low-noise-dc-motor-with-metal-gears-grade-a" TargetMode="External"/><Relationship Id="rId2" Type="http://schemas.openxmlformats.org/officeDocument/2006/relationships/hyperlink" Target="https://makerbazar.in/products/85mm-smart-car-robot-wheel-with-hex-coupling" TargetMode="External"/><Relationship Id="rId3" Type="http://schemas.openxmlformats.org/officeDocument/2006/relationships/hyperlink" Target="https://quartzcomponents.com/products/double-bts7960-43a-h-bridge-high-power-stepper-motor-driver-module" TargetMode="External"/><Relationship Id="rId4" Type="http://schemas.openxmlformats.org/officeDocument/2006/relationships/hyperlink" Target="https://makerbazar.in/products/heavy-duty-4wd-metal-robot-chassis" TargetMode="External"/><Relationship Id="rId9" Type="http://schemas.openxmlformats.org/officeDocument/2006/relationships/hyperlink" Target="https://www.electronicscomp.com/waveshare-mlx90640-ir-array-thermal-imaging-camera-32a-24-pixels-110adeg-fov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www.silverlineelectronics.in/products/raspberry-pi-zero-2-w" TargetMode="External"/><Relationship Id="rId6" Type="http://schemas.openxmlformats.org/officeDocument/2006/relationships/hyperlink" Target="https://makerbazar.in/products/sandisk-64gb-micro-sd-card-class-10-memory-card-for-mobile-rpi" TargetMode="External"/><Relationship Id="rId7" Type="http://schemas.openxmlformats.org/officeDocument/2006/relationships/hyperlink" Target="https://quartzcomponents.com/products/esp32-30-pin-development-board-with-wi-fi-and-bluetooth" TargetMode="External"/><Relationship Id="rId8" Type="http://schemas.openxmlformats.org/officeDocument/2006/relationships/hyperlink" Target="https://www.electronicscomp.com/5mp-ov5647-wide-angle-fish-eye-lens-night-vision-camera-for-raspberry-pi-3-b" TargetMode="External"/><Relationship Id="rId11" Type="http://schemas.openxmlformats.org/officeDocument/2006/relationships/hyperlink" Target="https://www.electronicscomp.com/pam8403-mini-digital-power-amplifier-module-red" TargetMode="External"/><Relationship Id="rId10" Type="http://schemas.openxmlformats.org/officeDocument/2006/relationships/hyperlink" Target="https://robu.in/product/inmp441-omnidirectional-microphone-module/" TargetMode="External"/><Relationship Id="rId13" Type="http://schemas.openxmlformats.org/officeDocument/2006/relationships/hyperlink" Target="https://makerbazar.in/products/mq-air-quality-gas-sensor-module?variant=48251074707696" TargetMode="External"/><Relationship Id="rId12" Type="http://schemas.openxmlformats.org/officeDocument/2006/relationships/hyperlink" Target="https://quartzcomponents.com/products/mq-4-gas-sensor-module" TargetMode="External"/><Relationship Id="rId15" Type="http://schemas.openxmlformats.org/officeDocument/2006/relationships/hyperlink" Target="https://quartzcomponents.com/products/gy-bme280-5v-temperature-and-humidity-sensor-module" TargetMode="External"/><Relationship Id="rId14" Type="http://schemas.openxmlformats.org/officeDocument/2006/relationships/hyperlink" Target="https://www.electronicscomp.com/mq-136-hydrogen-sulfide-gas-sensor" TargetMode="External"/><Relationship Id="rId17" Type="http://schemas.openxmlformats.org/officeDocument/2006/relationships/hyperlink" Target="https://quartzcomponents.com/products/hc-sr04-ultrasonic-sensor-module" TargetMode="External"/><Relationship Id="rId16" Type="http://schemas.openxmlformats.org/officeDocument/2006/relationships/hyperlink" Target="https://robu.in/product/ebyte-e22-900t22d-v2-sx1262-lora-868mhz-wireless-module-uart-22dbm-5km-long-range-fec-sma-k-antenna-rf-wireless-transmitter/" TargetMode="External"/><Relationship Id="rId19" Type="http://schemas.openxmlformats.org/officeDocument/2006/relationships/hyperlink" Target="https://makerbazar.in/products/2-dof-pan-tilt-camera-bracket-kit" TargetMode="External"/><Relationship Id="rId18" Type="http://schemas.openxmlformats.org/officeDocument/2006/relationships/hyperlink" Target="https://www.electronicscomp.com/tower-pro-mg90s-metal-geared-micro-servo-motor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ectronicscomp.com" TargetMode="External"/><Relationship Id="rId2" Type="http://schemas.openxmlformats.org/officeDocument/2006/relationships/hyperlink" Target="https://quartzcomponents.com" TargetMode="External"/><Relationship Id="rId3" Type="http://schemas.openxmlformats.org/officeDocument/2006/relationships/hyperlink" Target="https://makerbazar.in" TargetMode="External"/><Relationship Id="rId4" Type="http://schemas.openxmlformats.org/officeDocument/2006/relationships/hyperlink" Target="https://robu.in" TargetMode="External"/><Relationship Id="rId5" Type="http://schemas.openxmlformats.org/officeDocument/2006/relationships/hyperlink" Target="https://www.silverlineelectronics.in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0.0"/>
    <col customWidth="1" min="3" max="3" width="42.0"/>
    <col customWidth="1" min="4" max="4" width="45.0"/>
    <col customWidth="1" min="5" max="5" width="12.0"/>
    <col customWidth="1" min="6" max="6" width="53.0"/>
    <col customWidth="1" min="7" max="7" width="55.0"/>
    <col customWidth="1" min="8" max="8" width="12.0"/>
    <col customWidth="1" min="9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5"/>
    </row>
    <row r="2">
      <c r="A2" s="6"/>
      <c r="B2" s="7"/>
      <c r="C2" s="7"/>
      <c r="D2" s="7"/>
      <c r="E2" s="7"/>
      <c r="F2" s="7"/>
      <c r="G2" s="7"/>
      <c r="H2" s="8"/>
    </row>
    <row r="3">
      <c r="A3" s="9" t="s">
        <v>3</v>
      </c>
    </row>
    <row r="4">
      <c r="B4" s="11" t="s">
        <v>5</v>
      </c>
      <c r="C4" s="13"/>
      <c r="D4" s="11" t="s">
        <v>14</v>
      </c>
      <c r="E4" s="13"/>
      <c r="F4" s="14" t="s">
        <v>17</v>
      </c>
      <c r="G4" s="11" t="s">
        <v>18</v>
      </c>
      <c r="H4" s="13"/>
    </row>
    <row r="5" ht="36.75" customHeight="1">
      <c r="B5" s="16"/>
      <c r="C5" s="17"/>
      <c r="D5" s="16"/>
      <c r="E5" s="17"/>
      <c r="F5" s="20"/>
      <c r="G5" s="16"/>
      <c r="H5" s="17"/>
    </row>
    <row r="7">
      <c r="A7" s="9" t="s">
        <v>23</v>
      </c>
    </row>
    <row r="8" ht="24.75" customHeight="1">
      <c r="A8" s="12" t="s">
        <v>25</v>
      </c>
      <c r="B8" s="12" t="s">
        <v>26</v>
      </c>
      <c r="C8" s="12" t="s">
        <v>27</v>
      </c>
      <c r="D8" s="12" t="s">
        <v>28</v>
      </c>
    </row>
    <row r="9" ht="42.0" customHeight="1">
      <c r="A9" s="27" t="s">
        <v>29</v>
      </c>
      <c r="B9" s="24" t="s">
        <v>30</v>
      </c>
      <c r="C9" s="24" t="s">
        <v>31</v>
      </c>
      <c r="D9" s="24" t="s">
        <v>32</v>
      </c>
    </row>
    <row r="10" ht="42.0" customHeight="1">
      <c r="A10" s="29" t="s">
        <v>33</v>
      </c>
      <c r="B10" s="30" t="s">
        <v>34</v>
      </c>
      <c r="C10" s="30" t="s">
        <v>35</v>
      </c>
      <c r="D10" s="30" t="s">
        <v>36</v>
      </c>
    </row>
    <row r="11" ht="42.0" customHeight="1">
      <c r="A11" s="27" t="s">
        <v>39</v>
      </c>
      <c r="B11" s="24" t="s">
        <v>40</v>
      </c>
      <c r="C11" s="24" t="s">
        <v>41</v>
      </c>
      <c r="D11" s="24" t="s">
        <v>42</v>
      </c>
    </row>
    <row r="12" ht="42.0" customHeight="1">
      <c r="A12" s="29" t="s">
        <v>43</v>
      </c>
      <c r="B12" s="30" t="s">
        <v>44</v>
      </c>
      <c r="C12" s="30" t="s">
        <v>44</v>
      </c>
      <c r="D12" s="30" t="s">
        <v>45</v>
      </c>
    </row>
    <row r="13" ht="42.0" customHeight="1">
      <c r="A13" s="27" t="s">
        <v>46</v>
      </c>
      <c r="B13" s="24" t="s">
        <v>47</v>
      </c>
      <c r="C13" s="24" t="s">
        <v>48</v>
      </c>
      <c r="D13" s="24" t="s">
        <v>49</v>
      </c>
    </row>
    <row r="14" ht="42.0" customHeight="1">
      <c r="A14" s="29" t="s">
        <v>50</v>
      </c>
      <c r="B14" s="30" t="s">
        <v>51</v>
      </c>
      <c r="C14" s="30" t="s">
        <v>52</v>
      </c>
      <c r="D14" s="30" t="s">
        <v>53</v>
      </c>
    </row>
    <row r="15" ht="42.0" customHeight="1">
      <c r="A15" s="27" t="s">
        <v>54</v>
      </c>
      <c r="B15" s="24" t="s">
        <v>55</v>
      </c>
      <c r="C15" s="24" t="s">
        <v>56</v>
      </c>
      <c r="D15" s="24" t="s">
        <v>57</v>
      </c>
    </row>
    <row r="16" ht="42.0" customHeight="1">
      <c r="A16" s="33" t="s">
        <v>58</v>
      </c>
      <c r="B16" s="34" t="s">
        <v>60</v>
      </c>
      <c r="C16" s="34" t="s">
        <v>61</v>
      </c>
      <c r="D16" s="34" t="s">
        <v>62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2"/>
    <mergeCell ref="B4:C5"/>
    <mergeCell ref="D4:E5"/>
    <mergeCell ref="F4:F5"/>
    <mergeCell ref="G4:H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38.0"/>
    <col customWidth="1" min="4" max="4" width="28.0"/>
    <col customWidth="1" min="5" max="5" width="48.0"/>
    <col customWidth="1" min="6" max="6" width="16.0"/>
    <col customWidth="1" min="7" max="7" width="8.0"/>
    <col customWidth="1" min="8" max="8" width="18.0"/>
    <col customWidth="1" min="9" max="9" width="22.0"/>
    <col customWidth="1" min="10" max="10" width="20.0"/>
    <col customWidth="1" min="11" max="11" width="42.0"/>
    <col customWidth="1" min="12" max="26" width="8.71"/>
  </cols>
  <sheetData>
    <row r="1">
      <c r="A1" s="4" t="s">
        <v>2</v>
      </c>
      <c r="B1" s="3"/>
      <c r="C1" s="3"/>
      <c r="D1" s="3"/>
      <c r="E1" s="3"/>
      <c r="F1" s="3"/>
      <c r="G1" s="3"/>
      <c r="H1" s="3"/>
      <c r="I1" s="3"/>
      <c r="J1" s="3"/>
      <c r="K1" s="5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4" ht="24.75" customHeight="1">
      <c r="A4" s="12" t="s">
        <v>4</v>
      </c>
      <c r="B4" s="12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2" t="s">
        <v>15</v>
      </c>
      <c r="K4" s="12" t="s">
        <v>16</v>
      </c>
    </row>
    <row r="5" ht="24.0" customHeight="1">
      <c r="A5" s="19">
        <v>1.0</v>
      </c>
      <c r="B5" s="22" t="s">
        <v>19</v>
      </c>
      <c r="C5" s="22" t="s">
        <v>20</v>
      </c>
      <c r="D5" s="22" t="s">
        <v>21</v>
      </c>
      <c r="E5" s="24" t="s">
        <v>24</v>
      </c>
      <c r="F5" s="26">
        <v>179.0</v>
      </c>
      <c r="G5" s="28">
        <v>4.0</v>
      </c>
      <c r="H5" s="32">
        <f t="shared" ref="H5:H25" si="1">F5*G5</f>
        <v>716</v>
      </c>
      <c r="I5" s="28" t="s">
        <v>37</v>
      </c>
      <c r="J5" s="40" t="s">
        <v>38</v>
      </c>
      <c r="K5" s="24" t="s">
        <v>75</v>
      </c>
    </row>
    <row r="6" ht="24.0" customHeight="1">
      <c r="A6" s="42">
        <v>2.0</v>
      </c>
      <c r="B6" s="44" t="s">
        <v>19</v>
      </c>
      <c r="C6" s="44" t="s">
        <v>82</v>
      </c>
      <c r="D6" s="44" t="s">
        <v>84</v>
      </c>
      <c r="E6" s="30" t="s">
        <v>87</v>
      </c>
      <c r="F6" s="46">
        <v>168.25</v>
      </c>
      <c r="G6" s="47">
        <v>4.0</v>
      </c>
      <c r="H6" s="48">
        <f t="shared" si="1"/>
        <v>673</v>
      </c>
      <c r="I6" s="47" t="s">
        <v>84</v>
      </c>
      <c r="J6" s="50" t="s">
        <v>38</v>
      </c>
      <c r="K6" s="30" t="s">
        <v>137</v>
      </c>
    </row>
    <row r="7" ht="24.0" customHeight="1">
      <c r="A7" s="19">
        <v>3.0</v>
      </c>
      <c r="B7" s="22" t="s">
        <v>19</v>
      </c>
      <c r="C7" s="22" t="s">
        <v>146</v>
      </c>
      <c r="D7" s="22" t="s">
        <v>148</v>
      </c>
      <c r="E7" s="24" t="s">
        <v>150</v>
      </c>
      <c r="F7" s="26">
        <v>128.0</v>
      </c>
      <c r="G7" s="28">
        <v>1.0</v>
      </c>
      <c r="H7" s="32">
        <f t="shared" si="1"/>
        <v>128</v>
      </c>
      <c r="I7" s="28" t="s">
        <v>154</v>
      </c>
      <c r="J7" s="40" t="s">
        <v>38</v>
      </c>
      <c r="K7" s="24" t="s">
        <v>193</v>
      </c>
    </row>
    <row r="8" ht="24.0" customHeight="1">
      <c r="A8" s="42">
        <v>4.0</v>
      </c>
      <c r="B8" s="44" t="s">
        <v>194</v>
      </c>
      <c r="C8" s="44" t="s">
        <v>195</v>
      </c>
      <c r="D8" s="44" t="s">
        <v>196</v>
      </c>
      <c r="E8" s="30" t="s">
        <v>202</v>
      </c>
      <c r="F8" s="46">
        <v>999.0</v>
      </c>
      <c r="G8" s="47">
        <v>1.0</v>
      </c>
      <c r="H8" s="48">
        <f t="shared" si="1"/>
        <v>999</v>
      </c>
      <c r="I8" s="47" t="s">
        <v>203</v>
      </c>
      <c r="J8" s="50" t="s">
        <v>38</v>
      </c>
      <c r="K8" s="30" t="s">
        <v>208</v>
      </c>
    </row>
    <row r="9" ht="24.0" customHeight="1">
      <c r="A9" s="19">
        <v>5.0</v>
      </c>
      <c r="B9" s="22" t="s">
        <v>210</v>
      </c>
      <c r="C9" s="22" t="s">
        <v>211</v>
      </c>
      <c r="D9" s="22" t="s">
        <v>212</v>
      </c>
      <c r="E9" s="24" t="s">
        <v>213</v>
      </c>
      <c r="F9" s="26">
        <v>684.0</v>
      </c>
      <c r="G9" s="28">
        <v>1.0</v>
      </c>
      <c r="H9" s="32">
        <f t="shared" si="1"/>
        <v>684</v>
      </c>
      <c r="I9" s="28" t="s">
        <v>154</v>
      </c>
      <c r="J9" s="40" t="s">
        <v>38</v>
      </c>
      <c r="K9" s="24" t="s">
        <v>215</v>
      </c>
    </row>
    <row r="10" ht="24.0" customHeight="1">
      <c r="A10" s="42">
        <v>6.0</v>
      </c>
      <c r="B10" s="44" t="s">
        <v>216</v>
      </c>
      <c r="C10" s="44" t="s">
        <v>217</v>
      </c>
      <c r="D10" s="44" t="s">
        <v>218</v>
      </c>
      <c r="E10" s="30" t="s">
        <v>219</v>
      </c>
      <c r="F10" s="46">
        <v>799.0</v>
      </c>
      <c r="G10" s="47">
        <v>1.0</v>
      </c>
      <c r="H10" s="48">
        <f t="shared" si="1"/>
        <v>799</v>
      </c>
      <c r="I10" s="47" t="s">
        <v>37</v>
      </c>
      <c r="J10" s="50" t="s">
        <v>38</v>
      </c>
      <c r="K10" s="30" t="s">
        <v>225</v>
      </c>
    </row>
    <row r="11" ht="24.0" customHeight="1">
      <c r="A11" s="19">
        <v>7.0</v>
      </c>
      <c r="B11" s="22" t="s">
        <v>226</v>
      </c>
      <c r="C11" s="22" t="s">
        <v>227</v>
      </c>
      <c r="D11" s="22" t="s">
        <v>228</v>
      </c>
      <c r="E11" s="24" t="s">
        <v>229</v>
      </c>
      <c r="F11" s="26">
        <v>2199.0</v>
      </c>
      <c r="G11" s="28">
        <v>1.0</v>
      </c>
      <c r="H11" s="32">
        <f t="shared" si="1"/>
        <v>2199</v>
      </c>
      <c r="I11" s="28" t="s">
        <v>203</v>
      </c>
      <c r="J11" s="40" t="s">
        <v>38</v>
      </c>
      <c r="K11" s="24" t="s">
        <v>234</v>
      </c>
    </row>
    <row r="12" ht="24.0" customHeight="1">
      <c r="A12" s="42">
        <v>8.0</v>
      </c>
      <c r="B12" s="44" t="s">
        <v>235</v>
      </c>
      <c r="C12" s="44" t="s">
        <v>236</v>
      </c>
      <c r="D12" s="44" t="s">
        <v>237</v>
      </c>
      <c r="E12" s="30" t="s">
        <v>238</v>
      </c>
      <c r="F12" s="46">
        <v>74.0</v>
      </c>
      <c r="G12" s="47">
        <v>1.0</v>
      </c>
      <c r="H12" s="48">
        <f t="shared" si="1"/>
        <v>74</v>
      </c>
      <c r="I12" s="47" t="s">
        <v>154</v>
      </c>
      <c r="J12" s="50" t="s">
        <v>38</v>
      </c>
      <c r="K12" s="30" t="s">
        <v>243</v>
      </c>
    </row>
    <row r="13" ht="24.0" customHeight="1">
      <c r="A13" s="19">
        <v>9.0</v>
      </c>
      <c r="B13" s="22" t="s">
        <v>235</v>
      </c>
      <c r="C13" s="22" t="s">
        <v>244</v>
      </c>
      <c r="D13" s="22" t="s">
        <v>245</v>
      </c>
      <c r="E13" s="24" t="s">
        <v>246</v>
      </c>
      <c r="F13" s="26">
        <v>99.0</v>
      </c>
      <c r="G13" s="28">
        <v>1.0</v>
      </c>
      <c r="H13" s="32">
        <f t="shared" si="1"/>
        <v>99</v>
      </c>
      <c r="I13" s="28" t="s">
        <v>203</v>
      </c>
      <c r="J13" s="40" t="s">
        <v>38</v>
      </c>
      <c r="K13" s="24" t="s">
        <v>248</v>
      </c>
    </row>
    <row r="14" ht="24.0" customHeight="1">
      <c r="A14" s="42">
        <v>10.0</v>
      </c>
      <c r="B14" s="44" t="s">
        <v>235</v>
      </c>
      <c r="C14" s="44" t="s">
        <v>251</v>
      </c>
      <c r="D14" s="44" t="s">
        <v>252</v>
      </c>
      <c r="E14" s="30" t="s">
        <v>254</v>
      </c>
      <c r="F14" s="46">
        <v>1021.0</v>
      </c>
      <c r="G14" s="47">
        <v>1.0</v>
      </c>
      <c r="H14" s="48">
        <f t="shared" si="1"/>
        <v>1021</v>
      </c>
      <c r="I14" s="47" t="s">
        <v>37</v>
      </c>
      <c r="J14" s="50" t="s">
        <v>38</v>
      </c>
      <c r="K14" s="30" t="s">
        <v>256</v>
      </c>
    </row>
    <row r="15" ht="24.0" customHeight="1">
      <c r="A15" s="19">
        <v>11.0</v>
      </c>
      <c r="B15" s="22" t="s">
        <v>258</v>
      </c>
      <c r="C15" s="22" t="s">
        <v>260</v>
      </c>
      <c r="D15" s="22" t="s">
        <v>262</v>
      </c>
      <c r="E15" s="24" t="s">
        <v>264</v>
      </c>
      <c r="F15" s="26">
        <v>218.0</v>
      </c>
      <c r="G15" s="28">
        <v>1.0</v>
      </c>
      <c r="H15" s="32">
        <f t="shared" si="1"/>
        <v>218</v>
      </c>
      <c r="I15" s="28" t="s">
        <v>154</v>
      </c>
      <c r="J15" s="40" t="s">
        <v>38</v>
      </c>
      <c r="K15" s="24" t="s">
        <v>271</v>
      </c>
    </row>
    <row r="16" ht="24.0" customHeight="1">
      <c r="A16" s="42">
        <v>12.0</v>
      </c>
      <c r="B16" s="44" t="s">
        <v>272</v>
      </c>
      <c r="C16" s="44" t="s">
        <v>273</v>
      </c>
      <c r="D16" s="44" t="s">
        <v>274</v>
      </c>
      <c r="E16" s="30" t="s">
        <v>275</v>
      </c>
      <c r="F16" s="46">
        <v>989.0</v>
      </c>
      <c r="G16" s="47">
        <v>2.0</v>
      </c>
      <c r="H16" s="48">
        <f t="shared" si="1"/>
        <v>1978</v>
      </c>
      <c r="I16" s="47" t="s">
        <v>265</v>
      </c>
      <c r="J16" s="50" t="s">
        <v>38</v>
      </c>
      <c r="K16" s="30" t="s">
        <v>277</v>
      </c>
    </row>
    <row r="17" ht="24.0" customHeight="1">
      <c r="A17" s="19">
        <v>13.0</v>
      </c>
      <c r="B17" s="22" t="s">
        <v>278</v>
      </c>
      <c r="C17" s="22" t="s">
        <v>279</v>
      </c>
      <c r="D17" s="22" t="s">
        <v>154</v>
      </c>
      <c r="E17" s="24" t="s">
        <v>280</v>
      </c>
      <c r="F17" s="26">
        <v>72.0</v>
      </c>
      <c r="G17" s="28">
        <v>1.0</v>
      </c>
      <c r="H17" s="32">
        <f t="shared" si="1"/>
        <v>72</v>
      </c>
      <c r="I17" s="28" t="s">
        <v>154</v>
      </c>
      <c r="J17" s="40" t="s">
        <v>38</v>
      </c>
      <c r="K17" s="24" t="s">
        <v>281</v>
      </c>
    </row>
    <row r="18" ht="24.0" customHeight="1">
      <c r="A18" s="42">
        <v>14.0</v>
      </c>
      <c r="B18" s="44" t="s">
        <v>282</v>
      </c>
      <c r="C18" s="44" t="s">
        <v>283</v>
      </c>
      <c r="D18" s="44" t="s">
        <v>284</v>
      </c>
      <c r="E18" s="30" t="s">
        <v>285</v>
      </c>
      <c r="F18" s="46">
        <v>144.0</v>
      </c>
      <c r="G18" s="47">
        <v>1.0</v>
      </c>
      <c r="H18" s="48">
        <f t="shared" si="1"/>
        <v>144</v>
      </c>
      <c r="I18" s="47" t="s">
        <v>154</v>
      </c>
      <c r="J18" s="50" t="s">
        <v>38</v>
      </c>
      <c r="K18" s="30" t="s">
        <v>286</v>
      </c>
    </row>
    <row r="19" ht="24.0" customHeight="1">
      <c r="A19" s="19">
        <v>15.0</v>
      </c>
      <c r="B19" s="22" t="s">
        <v>287</v>
      </c>
      <c r="C19" s="22" t="s">
        <v>288</v>
      </c>
      <c r="D19" s="22" t="s">
        <v>289</v>
      </c>
      <c r="E19" s="24" t="s">
        <v>290</v>
      </c>
      <c r="F19" s="26">
        <v>179.0</v>
      </c>
      <c r="G19" s="28">
        <v>2.0</v>
      </c>
      <c r="H19" s="32">
        <f t="shared" si="1"/>
        <v>358</v>
      </c>
      <c r="I19" s="28" t="s">
        <v>37</v>
      </c>
      <c r="J19" s="40" t="s">
        <v>38</v>
      </c>
      <c r="K19" s="24" t="s">
        <v>299</v>
      </c>
    </row>
    <row r="20" ht="24.0" customHeight="1">
      <c r="A20" s="42">
        <v>16.0</v>
      </c>
      <c r="B20" s="44" t="s">
        <v>287</v>
      </c>
      <c r="C20" s="44" t="s">
        <v>301</v>
      </c>
      <c r="D20" s="44" t="s">
        <v>302</v>
      </c>
      <c r="E20" s="30" t="s">
        <v>303</v>
      </c>
      <c r="F20" s="46">
        <v>89.0</v>
      </c>
      <c r="G20" s="47">
        <v>1.0</v>
      </c>
      <c r="H20" s="48">
        <f t="shared" si="1"/>
        <v>89</v>
      </c>
      <c r="I20" s="47" t="s">
        <v>203</v>
      </c>
      <c r="J20" s="50" t="s">
        <v>38</v>
      </c>
      <c r="K20" s="30" t="s">
        <v>306</v>
      </c>
    </row>
    <row r="21" ht="24.0" customHeight="1">
      <c r="A21" s="19">
        <v>17.0</v>
      </c>
      <c r="B21" s="22" t="s">
        <v>308</v>
      </c>
      <c r="C21" s="22" t="s">
        <v>310</v>
      </c>
      <c r="D21" s="22" t="s">
        <v>312</v>
      </c>
      <c r="E21" s="24" t="s">
        <v>313</v>
      </c>
      <c r="F21" s="26">
        <v>159.0</v>
      </c>
      <c r="G21" s="28">
        <v>3.0</v>
      </c>
      <c r="H21" s="32">
        <f t="shared" si="1"/>
        <v>477</v>
      </c>
      <c r="I21" s="28" t="s">
        <v>265</v>
      </c>
      <c r="J21" s="40" t="s">
        <v>38</v>
      </c>
      <c r="K21" s="24" t="s">
        <v>316</v>
      </c>
    </row>
    <row r="22" ht="24.0" customHeight="1">
      <c r="A22" s="42">
        <v>18.0</v>
      </c>
      <c r="B22" s="44" t="s">
        <v>308</v>
      </c>
      <c r="C22" s="44" t="s">
        <v>317</v>
      </c>
      <c r="D22" s="44" t="s">
        <v>318</v>
      </c>
      <c r="E22" s="30" t="s">
        <v>319</v>
      </c>
      <c r="F22" s="46">
        <v>109.0</v>
      </c>
      <c r="G22" s="47">
        <v>1.0</v>
      </c>
      <c r="H22" s="48">
        <f t="shared" si="1"/>
        <v>109</v>
      </c>
      <c r="I22" s="47" t="s">
        <v>265</v>
      </c>
      <c r="J22" s="50" t="s">
        <v>38</v>
      </c>
      <c r="K22" s="30" t="s">
        <v>325</v>
      </c>
    </row>
    <row r="23" ht="24.0" customHeight="1">
      <c r="A23" s="19">
        <v>19.0</v>
      </c>
      <c r="B23" s="22" t="s">
        <v>308</v>
      </c>
      <c r="C23" s="22" t="s">
        <v>327</v>
      </c>
      <c r="D23" s="22" t="s">
        <v>328</v>
      </c>
      <c r="E23" s="24" t="s">
        <v>330</v>
      </c>
      <c r="F23" s="26">
        <v>249.0</v>
      </c>
      <c r="G23" s="28">
        <v>1.0</v>
      </c>
      <c r="H23" s="32">
        <f t="shared" si="1"/>
        <v>249</v>
      </c>
      <c r="I23" s="28" t="s">
        <v>203</v>
      </c>
      <c r="J23" s="40" t="s">
        <v>38</v>
      </c>
      <c r="K23" s="24" t="s">
        <v>337</v>
      </c>
    </row>
    <row r="24" ht="24.0" customHeight="1">
      <c r="A24" s="42">
        <v>20.0</v>
      </c>
      <c r="B24" s="44" t="s">
        <v>308</v>
      </c>
      <c r="C24" s="44" t="s">
        <v>338</v>
      </c>
      <c r="D24" s="44" t="s">
        <v>339</v>
      </c>
      <c r="E24" s="30" t="s">
        <v>340</v>
      </c>
      <c r="F24" s="46">
        <v>65.0</v>
      </c>
      <c r="G24" s="47">
        <v>1.0</v>
      </c>
      <c r="H24" s="48">
        <f t="shared" si="1"/>
        <v>65</v>
      </c>
      <c r="I24" s="47" t="s">
        <v>154</v>
      </c>
      <c r="J24" s="50" t="s">
        <v>38</v>
      </c>
      <c r="K24" s="30" t="s">
        <v>346</v>
      </c>
    </row>
    <row r="25" ht="24.0" customHeight="1">
      <c r="A25" s="19">
        <v>21.0</v>
      </c>
      <c r="B25" s="22" t="s">
        <v>347</v>
      </c>
      <c r="C25" s="22" t="s">
        <v>348</v>
      </c>
      <c r="D25" s="22" t="s">
        <v>269</v>
      </c>
      <c r="E25" s="24" t="s">
        <v>349</v>
      </c>
      <c r="F25" s="26">
        <v>85.0</v>
      </c>
      <c r="G25" s="28">
        <v>1.0</v>
      </c>
      <c r="H25" s="32">
        <f t="shared" si="1"/>
        <v>85</v>
      </c>
      <c r="I25" s="28" t="s">
        <v>154</v>
      </c>
      <c r="J25" s="40" t="s">
        <v>38</v>
      </c>
      <c r="K25" s="24" t="s">
        <v>353</v>
      </c>
    </row>
    <row r="26" ht="27.75" customHeight="1">
      <c r="A26" s="59" t="s">
        <v>354</v>
      </c>
      <c r="B26" s="60"/>
      <c r="C26" s="60"/>
      <c r="D26" s="60"/>
      <c r="E26" s="61"/>
      <c r="F26" s="62"/>
      <c r="G26" s="63">
        <f t="shared" ref="G26:H26" si="2">SUM(G5:G25)</f>
        <v>31</v>
      </c>
      <c r="H26" s="64">
        <f t="shared" si="2"/>
        <v>11236</v>
      </c>
      <c r="I26" s="65" t="s">
        <v>358</v>
      </c>
      <c r="J26" s="60"/>
      <c r="K26" s="6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2"/>
    <mergeCell ref="A26:E26"/>
    <mergeCell ref="I26:K26"/>
  </mergeCell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</hyperlinks>
  <printOptions/>
  <pageMargins bottom="1.0" footer="0.0" header="0.0" left="0.75" right="0.75" top="1.0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51.0"/>
    <col customWidth="1" min="4" max="4" width="28.0"/>
    <col customWidth="1" min="5" max="5" width="48.0"/>
    <col customWidth="1" min="6" max="6" width="16.0"/>
    <col customWidth="1" min="7" max="7" width="8.0"/>
    <col customWidth="1" min="8" max="8" width="18.0"/>
    <col customWidth="1" min="9" max="9" width="22.0"/>
    <col customWidth="1" min="10" max="10" width="20.0"/>
    <col customWidth="1" min="11" max="11" width="42.0"/>
    <col customWidth="1" min="12" max="26" width="8.71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5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4">
      <c r="A4" s="10" t="s">
        <v>4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15</v>
      </c>
      <c r="K4" s="10" t="s">
        <v>16</v>
      </c>
    </row>
    <row r="5" ht="24.0" customHeight="1">
      <c r="A5" s="15">
        <v>1.0</v>
      </c>
      <c r="B5" s="18" t="s">
        <v>19</v>
      </c>
      <c r="C5" s="18" t="s">
        <v>20</v>
      </c>
      <c r="D5" s="18" t="s">
        <v>21</v>
      </c>
      <c r="E5" s="21" t="s">
        <v>22</v>
      </c>
      <c r="F5" s="23">
        <v>179.0</v>
      </c>
      <c r="G5" s="25">
        <v>4.0</v>
      </c>
      <c r="H5" s="31">
        <f t="shared" ref="H5:H28" si="1">F5*G5</f>
        <v>716</v>
      </c>
      <c r="I5" s="25" t="s">
        <v>37</v>
      </c>
      <c r="J5" s="37" t="s">
        <v>38</v>
      </c>
      <c r="K5" s="21" t="s">
        <v>69</v>
      </c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4.0" customHeight="1">
      <c r="A6" s="42">
        <v>2.0</v>
      </c>
      <c r="B6" s="44" t="s">
        <v>19</v>
      </c>
      <c r="C6" s="44" t="s">
        <v>82</v>
      </c>
      <c r="D6" s="44" t="s">
        <v>84</v>
      </c>
      <c r="E6" s="30" t="s">
        <v>87</v>
      </c>
      <c r="F6" s="46">
        <v>168.25</v>
      </c>
      <c r="G6" s="47">
        <v>4.0</v>
      </c>
      <c r="H6" s="48">
        <f t="shared" si="1"/>
        <v>673</v>
      </c>
      <c r="I6" s="47" t="s">
        <v>84</v>
      </c>
      <c r="J6" s="50" t="s">
        <v>38</v>
      </c>
      <c r="K6" s="30" t="s">
        <v>133</v>
      </c>
    </row>
    <row r="7" ht="24.0" customHeight="1">
      <c r="A7" s="15">
        <v>3.0</v>
      </c>
      <c r="B7" s="18" t="s">
        <v>19</v>
      </c>
      <c r="C7" s="18" t="s">
        <v>140</v>
      </c>
      <c r="D7" s="18" t="s">
        <v>142</v>
      </c>
      <c r="E7" s="21" t="s">
        <v>145</v>
      </c>
      <c r="F7" s="23">
        <v>312.0</v>
      </c>
      <c r="G7" s="25">
        <v>1.0</v>
      </c>
      <c r="H7" s="31">
        <f t="shared" si="1"/>
        <v>312</v>
      </c>
      <c r="I7" s="25" t="s">
        <v>154</v>
      </c>
      <c r="J7" s="37" t="s">
        <v>38</v>
      </c>
      <c r="K7" s="21" t="s">
        <v>188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4.0" customHeight="1">
      <c r="A8" s="42">
        <v>4.0</v>
      </c>
      <c r="B8" s="44" t="s">
        <v>194</v>
      </c>
      <c r="C8" s="44" t="s">
        <v>195</v>
      </c>
      <c r="D8" s="44" t="s">
        <v>196</v>
      </c>
      <c r="E8" s="30" t="s">
        <v>198</v>
      </c>
      <c r="F8" s="46">
        <v>999.0</v>
      </c>
      <c r="G8" s="47">
        <v>1.0</v>
      </c>
      <c r="H8" s="48">
        <f t="shared" si="1"/>
        <v>999</v>
      </c>
      <c r="I8" s="47" t="s">
        <v>203</v>
      </c>
      <c r="J8" s="50" t="s">
        <v>38</v>
      </c>
      <c r="K8" s="30" t="s">
        <v>204</v>
      </c>
    </row>
    <row r="9" ht="24.0" customHeight="1">
      <c r="A9" s="51">
        <v>5.0</v>
      </c>
      <c r="B9" s="52" t="s">
        <v>205</v>
      </c>
      <c r="C9" s="52" t="s">
        <v>206</v>
      </c>
      <c r="D9" s="52" t="s">
        <v>207</v>
      </c>
      <c r="E9" s="34" t="s">
        <v>209</v>
      </c>
      <c r="F9" s="53">
        <v>1999.0</v>
      </c>
      <c r="G9" s="54">
        <v>1.0</v>
      </c>
      <c r="H9" s="55">
        <f t="shared" si="1"/>
        <v>1999</v>
      </c>
      <c r="I9" s="54" t="s">
        <v>214</v>
      </c>
      <c r="J9" s="56" t="s">
        <v>38</v>
      </c>
      <c r="K9" s="34" t="s">
        <v>220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24.0" customHeight="1">
      <c r="A10" s="42">
        <v>6.0</v>
      </c>
      <c r="B10" s="44" t="s">
        <v>221</v>
      </c>
      <c r="C10" s="44" t="s">
        <v>222</v>
      </c>
      <c r="D10" s="44" t="s">
        <v>223</v>
      </c>
      <c r="E10" s="30" t="s">
        <v>224</v>
      </c>
      <c r="F10" s="46">
        <v>389.0</v>
      </c>
      <c r="G10" s="47">
        <v>1.0</v>
      </c>
      <c r="H10" s="48">
        <f t="shared" si="1"/>
        <v>389</v>
      </c>
      <c r="I10" s="47" t="s">
        <v>203</v>
      </c>
      <c r="J10" s="50" t="s">
        <v>38</v>
      </c>
      <c r="K10" s="30" t="s">
        <v>230</v>
      </c>
    </row>
    <row r="11" ht="24.0" customHeight="1">
      <c r="A11" s="51">
        <v>7.0</v>
      </c>
      <c r="B11" s="52" t="s">
        <v>139</v>
      </c>
      <c r="C11" s="52" t="s">
        <v>231</v>
      </c>
      <c r="D11" s="52" t="s">
        <v>232</v>
      </c>
      <c r="E11" s="34" t="s">
        <v>233</v>
      </c>
      <c r="F11" s="53">
        <v>375.0</v>
      </c>
      <c r="G11" s="54">
        <v>1.0</v>
      </c>
      <c r="H11" s="55">
        <f t="shared" si="1"/>
        <v>375</v>
      </c>
      <c r="I11" s="54" t="s">
        <v>154</v>
      </c>
      <c r="J11" s="56" t="s">
        <v>38</v>
      </c>
      <c r="K11" s="34" t="s">
        <v>239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24.0" customHeight="1">
      <c r="A12" s="42">
        <v>8.0</v>
      </c>
      <c r="B12" s="44" t="s">
        <v>159</v>
      </c>
      <c r="C12" s="44" t="s">
        <v>240</v>
      </c>
      <c r="D12" s="44" t="s">
        <v>241</v>
      </c>
      <c r="E12" s="30" t="s">
        <v>242</v>
      </c>
      <c r="F12" s="46">
        <v>1045.0</v>
      </c>
      <c r="G12" s="47">
        <v>1.0</v>
      </c>
      <c r="H12" s="48">
        <f t="shared" si="1"/>
        <v>1045</v>
      </c>
      <c r="I12" s="47" t="s">
        <v>37</v>
      </c>
      <c r="J12" s="50" t="s">
        <v>38</v>
      </c>
      <c r="K12" s="30" t="s">
        <v>247</v>
      </c>
    </row>
    <row r="13" ht="24.0" customHeight="1">
      <c r="A13" s="19">
        <v>9.0</v>
      </c>
      <c r="B13" s="22" t="s">
        <v>152</v>
      </c>
      <c r="C13" s="22" t="s">
        <v>249</v>
      </c>
      <c r="D13" s="22" t="s">
        <v>250</v>
      </c>
      <c r="E13" s="24" t="s">
        <v>253</v>
      </c>
      <c r="F13" s="26">
        <v>5372.0</v>
      </c>
      <c r="G13" s="28">
        <v>1.0</v>
      </c>
      <c r="H13" s="32">
        <f t="shared" si="1"/>
        <v>5372</v>
      </c>
      <c r="I13" s="28" t="s">
        <v>37</v>
      </c>
      <c r="J13" s="40" t="s">
        <v>38</v>
      </c>
      <c r="K13" s="24" t="s">
        <v>255</v>
      </c>
    </row>
    <row r="14" ht="24.0" customHeight="1">
      <c r="A14" s="51">
        <v>10.0</v>
      </c>
      <c r="B14" s="52" t="s">
        <v>257</v>
      </c>
      <c r="C14" s="52" t="s">
        <v>259</v>
      </c>
      <c r="D14" s="52" t="s">
        <v>261</v>
      </c>
      <c r="E14" s="34" t="s">
        <v>263</v>
      </c>
      <c r="F14" s="53">
        <v>149.0</v>
      </c>
      <c r="G14" s="54">
        <v>1.0</v>
      </c>
      <c r="H14" s="55">
        <f t="shared" si="1"/>
        <v>149</v>
      </c>
      <c r="I14" s="54" t="s">
        <v>265</v>
      </c>
      <c r="J14" s="56" t="s">
        <v>38</v>
      </c>
      <c r="K14" s="34" t="s">
        <v>266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24.0" customHeight="1">
      <c r="A15" s="19">
        <v>11.0</v>
      </c>
      <c r="B15" s="22" t="s">
        <v>267</v>
      </c>
      <c r="C15" s="22" t="s">
        <v>268</v>
      </c>
      <c r="D15" s="22" t="s">
        <v>269</v>
      </c>
      <c r="E15" s="24" t="s">
        <v>270</v>
      </c>
      <c r="F15" s="26">
        <v>125.0</v>
      </c>
      <c r="G15" s="28">
        <v>1.0</v>
      </c>
      <c r="H15" s="32">
        <f t="shared" si="1"/>
        <v>125</v>
      </c>
      <c r="I15" s="28" t="s">
        <v>37</v>
      </c>
      <c r="J15" s="40" t="s">
        <v>38</v>
      </c>
      <c r="K15" s="24" t="s">
        <v>276</v>
      </c>
    </row>
    <row r="16" ht="24.0" customHeight="1">
      <c r="A16" s="51">
        <v>12.0</v>
      </c>
      <c r="B16" s="52" t="s">
        <v>235</v>
      </c>
      <c r="C16" s="52" t="s">
        <v>236</v>
      </c>
      <c r="D16" s="52" t="s">
        <v>237</v>
      </c>
      <c r="E16" s="34" t="s">
        <v>238</v>
      </c>
      <c r="F16" s="53">
        <v>74.0</v>
      </c>
      <c r="G16" s="54">
        <v>1.0</v>
      </c>
      <c r="H16" s="55">
        <f t="shared" si="1"/>
        <v>74</v>
      </c>
      <c r="I16" s="54" t="s">
        <v>154</v>
      </c>
      <c r="J16" s="56" t="s">
        <v>38</v>
      </c>
      <c r="K16" s="34" t="s">
        <v>243</v>
      </c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24.0" customHeight="1">
      <c r="A17" s="51">
        <v>13.0</v>
      </c>
      <c r="B17" s="52" t="s">
        <v>235</v>
      </c>
      <c r="C17" s="52" t="s">
        <v>244</v>
      </c>
      <c r="D17" s="52" t="s">
        <v>245</v>
      </c>
      <c r="E17" s="34" t="s">
        <v>246</v>
      </c>
      <c r="F17" s="53">
        <v>99.0</v>
      </c>
      <c r="G17" s="54">
        <v>1.0</v>
      </c>
      <c r="H17" s="55">
        <f t="shared" si="1"/>
        <v>99</v>
      </c>
      <c r="I17" s="54" t="s">
        <v>203</v>
      </c>
      <c r="J17" s="56" t="s">
        <v>38</v>
      </c>
      <c r="K17" s="34" t="s">
        <v>248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24.0" customHeight="1">
      <c r="A18" s="42">
        <v>14.0</v>
      </c>
      <c r="B18" s="44" t="s">
        <v>235</v>
      </c>
      <c r="C18" s="44" t="s">
        <v>251</v>
      </c>
      <c r="D18" s="44" t="s">
        <v>252</v>
      </c>
      <c r="E18" s="30" t="s">
        <v>254</v>
      </c>
      <c r="F18" s="46">
        <v>1021.0</v>
      </c>
      <c r="G18" s="47">
        <v>1.0</v>
      </c>
      <c r="H18" s="48">
        <f t="shared" si="1"/>
        <v>1021</v>
      </c>
      <c r="I18" s="47" t="s">
        <v>37</v>
      </c>
      <c r="J18" s="50" t="s">
        <v>38</v>
      </c>
      <c r="K18" s="30" t="s">
        <v>256</v>
      </c>
    </row>
    <row r="19" ht="24.0" customHeight="1">
      <c r="A19" s="51">
        <v>15.0</v>
      </c>
      <c r="B19" s="52" t="s">
        <v>258</v>
      </c>
      <c r="C19" s="52" t="s">
        <v>260</v>
      </c>
      <c r="D19" s="52" t="s">
        <v>262</v>
      </c>
      <c r="E19" s="34" t="s">
        <v>264</v>
      </c>
      <c r="F19" s="53">
        <v>218.0</v>
      </c>
      <c r="G19" s="54">
        <v>1.0</v>
      </c>
      <c r="H19" s="55">
        <f t="shared" si="1"/>
        <v>218</v>
      </c>
      <c r="I19" s="54" t="s">
        <v>154</v>
      </c>
      <c r="J19" s="56" t="s">
        <v>38</v>
      </c>
      <c r="K19" s="34" t="s">
        <v>304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24.0" customHeight="1">
      <c r="A20" s="42">
        <v>16.0</v>
      </c>
      <c r="B20" s="44" t="s">
        <v>272</v>
      </c>
      <c r="C20" s="44" t="s">
        <v>273</v>
      </c>
      <c r="D20" s="44" t="s">
        <v>274</v>
      </c>
      <c r="E20" s="30" t="s">
        <v>275</v>
      </c>
      <c r="F20" s="46">
        <v>989.0</v>
      </c>
      <c r="G20" s="47">
        <v>2.0</v>
      </c>
      <c r="H20" s="48">
        <f t="shared" si="1"/>
        <v>1978</v>
      </c>
      <c r="I20" s="47" t="s">
        <v>265</v>
      </c>
      <c r="J20" s="50" t="s">
        <v>38</v>
      </c>
      <c r="K20" s="30" t="s">
        <v>277</v>
      </c>
    </row>
    <row r="21" ht="24.0" customHeight="1">
      <c r="A21" s="51">
        <v>17.0</v>
      </c>
      <c r="B21" s="52" t="s">
        <v>278</v>
      </c>
      <c r="C21" s="52" t="s">
        <v>279</v>
      </c>
      <c r="D21" s="52" t="s">
        <v>154</v>
      </c>
      <c r="E21" s="34" t="s">
        <v>280</v>
      </c>
      <c r="F21" s="53">
        <v>72.0</v>
      </c>
      <c r="G21" s="54">
        <v>1.0</v>
      </c>
      <c r="H21" s="55">
        <f t="shared" si="1"/>
        <v>72</v>
      </c>
      <c r="I21" s="54" t="s">
        <v>154</v>
      </c>
      <c r="J21" s="56" t="s">
        <v>38</v>
      </c>
      <c r="K21" s="34" t="s">
        <v>281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24.0" customHeight="1">
      <c r="A22" s="42">
        <v>18.0</v>
      </c>
      <c r="B22" s="44" t="s">
        <v>287</v>
      </c>
      <c r="C22" s="44" t="s">
        <v>288</v>
      </c>
      <c r="D22" s="44" t="s">
        <v>289</v>
      </c>
      <c r="E22" s="30" t="s">
        <v>290</v>
      </c>
      <c r="F22" s="46">
        <v>179.0</v>
      </c>
      <c r="G22" s="47">
        <v>2.0</v>
      </c>
      <c r="H22" s="48">
        <f t="shared" si="1"/>
        <v>358</v>
      </c>
      <c r="I22" s="47" t="s">
        <v>37</v>
      </c>
      <c r="J22" s="50" t="s">
        <v>38</v>
      </c>
      <c r="K22" s="30" t="s">
        <v>341</v>
      </c>
    </row>
    <row r="23" ht="24.0" customHeight="1">
      <c r="A23" s="15">
        <v>19.0</v>
      </c>
      <c r="B23" s="18" t="s">
        <v>287</v>
      </c>
      <c r="C23" s="18" t="s">
        <v>301</v>
      </c>
      <c r="D23" s="18" t="s">
        <v>302</v>
      </c>
      <c r="E23" s="21" t="s">
        <v>303</v>
      </c>
      <c r="F23" s="23">
        <v>89.0</v>
      </c>
      <c r="G23" s="25">
        <v>1.0</v>
      </c>
      <c r="H23" s="31">
        <f t="shared" si="1"/>
        <v>89</v>
      </c>
      <c r="I23" s="25" t="s">
        <v>203</v>
      </c>
      <c r="J23" s="37" t="s">
        <v>38</v>
      </c>
      <c r="K23" s="21" t="s">
        <v>306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24.0" customHeight="1">
      <c r="A24" s="42">
        <v>20.0</v>
      </c>
      <c r="B24" s="44" t="s">
        <v>308</v>
      </c>
      <c r="C24" s="44" t="s">
        <v>350</v>
      </c>
      <c r="D24" s="44" t="s">
        <v>312</v>
      </c>
      <c r="E24" s="30" t="s">
        <v>351</v>
      </c>
      <c r="F24" s="46">
        <v>159.0</v>
      </c>
      <c r="G24" s="47">
        <v>6.0</v>
      </c>
      <c r="H24" s="48">
        <f t="shared" si="1"/>
        <v>954</v>
      </c>
      <c r="I24" s="47" t="s">
        <v>265</v>
      </c>
      <c r="J24" s="50" t="s">
        <v>38</v>
      </c>
      <c r="K24" s="30" t="s">
        <v>352</v>
      </c>
    </row>
    <row r="25" ht="24.0" customHeight="1">
      <c r="A25" s="19">
        <v>21.0</v>
      </c>
      <c r="B25" s="22" t="s">
        <v>308</v>
      </c>
      <c r="C25" s="22" t="s">
        <v>317</v>
      </c>
      <c r="D25" s="22" t="s">
        <v>318</v>
      </c>
      <c r="E25" s="24" t="s">
        <v>355</v>
      </c>
      <c r="F25" s="26">
        <v>109.0</v>
      </c>
      <c r="G25" s="28">
        <v>1.0</v>
      </c>
      <c r="H25" s="32">
        <f t="shared" si="1"/>
        <v>109</v>
      </c>
      <c r="I25" s="28" t="s">
        <v>265</v>
      </c>
      <c r="J25" s="40" t="s">
        <v>38</v>
      </c>
      <c r="K25" s="24" t="s">
        <v>325</v>
      </c>
    </row>
    <row r="26" ht="24.0" customHeight="1">
      <c r="A26" s="42">
        <v>22.0</v>
      </c>
      <c r="B26" s="44" t="s">
        <v>308</v>
      </c>
      <c r="C26" s="44" t="s">
        <v>356</v>
      </c>
      <c r="D26" s="44" t="s">
        <v>328</v>
      </c>
      <c r="E26" s="30" t="s">
        <v>357</v>
      </c>
      <c r="F26" s="46">
        <v>289.0</v>
      </c>
      <c r="G26" s="47">
        <v>1.0</v>
      </c>
      <c r="H26" s="48">
        <f t="shared" si="1"/>
        <v>289</v>
      </c>
      <c r="I26" s="47" t="s">
        <v>203</v>
      </c>
      <c r="J26" s="50" t="s">
        <v>38</v>
      </c>
      <c r="K26" s="30" t="s">
        <v>359</v>
      </c>
    </row>
    <row r="27" ht="24.0" customHeight="1">
      <c r="A27" s="66">
        <v>23.0</v>
      </c>
      <c r="B27" s="67" t="s">
        <v>308</v>
      </c>
      <c r="C27" s="67" t="s">
        <v>360</v>
      </c>
      <c r="D27" s="67" t="s">
        <v>339</v>
      </c>
      <c r="E27" s="68" t="s">
        <v>361</v>
      </c>
      <c r="F27" s="69">
        <v>65.0</v>
      </c>
      <c r="G27" s="70">
        <v>2.0</v>
      </c>
      <c r="H27" s="71">
        <f t="shared" si="1"/>
        <v>130</v>
      </c>
      <c r="I27" s="70" t="s">
        <v>154</v>
      </c>
      <c r="J27" s="72" t="s">
        <v>38</v>
      </c>
      <c r="K27" s="68" t="s">
        <v>362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24.0" customHeight="1">
      <c r="A28" s="66">
        <v>24.0</v>
      </c>
      <c r="B28" s="67" t="s">
        <v>347</v>
      </c>
      <c r="C28" s="67" t="s">
        <v>348</v>
      </c>
      <c r="D28" s="67" t="s">
        <v>269</v>
      </c>
      <c r="E28" s="68" t="s">
        <v>349</v>
      </c>
      <c r="F28" s="69">
        <v>85.0</v>
      </c>
      <c r="G28" s="70">
        <v>1.0</v>
      </c>
      <c r="H28" s="71">
        <f t="shared" si="1"/>
        <v>85</v>
      </c>
      <c r="I28" s="70" t="s">
        <v>154</v>
      </c>
      <c r="J28" s="72" t="s">
        <v>38</v>
      </c>
      <c r="K28" s="68" t="s">
        <v>353</v>
      </c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ht="27.75" customHeight="1">
      <c r="A29" s="59" t="s">
        <v>363</v>
      </c>
      <c r="B29" s="60"/>
      <c r="C29" s="60"/>
      <c r="D29" s="60"/>
      <c r="E29" s="61"/>
      <c r="F29" s="62"/>
      <c r="G29" s="63">
        <f t="shared" ref="G29:H29" si="2">SUM(G5:G28)</f>
        <v>38</v>
      </c>
      <c r="H29" s="64">
        <f t="shared" si="2"/>
        <v>17630</v>
      </c>
      <c r="I29" s="65" t="s">
        <v>364</v>
      </c>
      <c r="J29" s="60"/>
      <c r="K29" s="6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2"/>
    <mergeCell ref="A29:E29"/>
    <mergeCell ref="I29:K29"/>
  </mergeCell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7"/>
    <hyperlink r:id="rId24" ref="J28"/>
  </hyperlinks>
  <printOptions/>
  <pageMargins bottom="1.0" footer="0.0" header="0.0" left="0.75" right="0.75" top="1.0"/>
  <pageSetup orientation="landscape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22.0"/>
    <col customWidth="1" min="4" max="4" width="36.0"/>
    <col customWidth="1" min="5" max="5" width="26.0"/>
    <col customWidth="1" min="6" max="6" width="34.0"/>
    <col customWidth="1" min="7" max="7" width="38.0"/>
    <col customWidth="1" min="8" max="26" width="8.71"/>
  </cols>
  <sheetData>
    <row r="1">
      <c r="A1" s="4" t="s">
        <v>59</v>
      </c>
      <c r="B1" s="3"/>
      <c r="C1" s="3"/>
      <c r="D1" s="3"/>
      <c r="E1" s="3"/>
      <c r="F1" s="3"/>
      <c r="G1" s="5"/>
    </row>
    <row r="2">
      <c r="A2" s="6"/>
      <c r="B2" s="7"/>
      <c r="C2" s="7"/>
      <c r="D2" s="7"/>
      <c r="E2" s="7"/>
      <c r="F2" s="7"/>
      <c r="G2" s="8"/>
    </row>
    <row r="4">
      <c r="A4" s="9" t="s">
        <v>63</v>
      </c>
    </row>
    <row r="5" ht="21.75" customHeight="1">
      <c r="A5" s="36" t="s">
        <v>64</v>
      </c>
      <c r="B5" s="36" t="s">
        <v>65</v>
      </c>
      <c r="C5" s="36" t="s">
        <v>66</v>
      </c>
      <c r="D5" s="36" t="s">
        <v>67</v>
      </c>
      <c r="E5" s="36" t="s">
        <v>68</v>
      </c>
      <c r="F5" s="36" t="s">
        <v>70</v>
      </c>
      <c r="G5" s="36" t="s">
        <v>71</v>
      </c>
    </row>
    <row r="6" ht="24.0" customHeight="1">
      <c r="A6" s="39" t="s">
        <v>72</v>
      </c>
      <c r="B6" s="30" t="s">
        <v>73</v>
      </c>
      <c r="C6" s="41" t="s">
        <v>74</v>
      </c>
      <c r="D6" s="30" t="s">
        <v>76</v>
      </c>
      <c r="E6" s="41" t="s">
        <v>77</v>
      </c>
      <c r="F6" s="30" t="s">
        <v>78</v>
      </c>
      <c r="G6" s="30" t="s">
        <v>79</v>
      </c>
    </row>
    <row r="7" ht="24.0" customHeight="1">
      <c r="A7" s="43" t="s">
        <v>80</v>
      </c>
      <c r="B7" s="24" t="s">
        <v>81</v>
      </c>
      <c r="C7" s="45" t="s">
        <v>83</v>
      </c>
      <c r="D7" s="24" t="s">
        <v>85</v>
      </c>
      <c r="E7" s="45" t="s">
        <v>86</v>
      </c>
      <c r="F7" s="24" t="s">
        <v>88</v>
      </c>
      <c r="G7" s="24" t="s">
        <v>89</v>
      </c>
    </row>
    <row r="8" ht="24.0" customHeight="1">
      <c r="A8" s="39" t="s">
        <v>90</v>
      </c>
      <c r="B8" s="30" t="s">
        <v>91</v>
      </c>
      <c r="C8" s="41" t="s">
        <v>92</v>
      </c>
      <c r="D8" s="30" t="s">
        <v>93</v>
      </c>
      <c r="E8" s="41" t="s">
        <v>94</v>
      </c>
      <c r="F8" s="30" t="s">
        <v>95</v>
      </c>
      <c r="G8" s="30" t="s">
        <v>96</v>
      </c>
    </row>
    <row r="9" ht="24.0" customHeight="1">
      <c r="A9" s="43" t="s">
        <v>97</v>
      </c>
      <c r="B9" s="24" t="s">
        <v>98</v>
      </c>
      <c r="C9" s="45" t="s">
        <v>99</v>
      </c>
      <c r="D9" s="24" t="s">
        <v>100</v>
      </c>
      <c r="E9" s="45" t="s">
        <v>101</v>
      </c>
      <c r="F9" s="24" t="s">
        <v>102</v>
      </c>
      <c r="G9" s="24" t="s">
        <v>103</v>
      </c>
    </row>
    <row r="10" ht="24.0" customHeight="1">
      <c r="A10" s="39" t="s">
        <v>104</v>
      </c>
      <c r="B10" s="30" t="s">
        <v>105</v>
      </c>
      <c r="C10" s="41" t="s">
        <v>83</v>
      </c>
      <c r="D10" s="30" t="s">
        <v>106</v>
      </c>
      <c r="E10" s="41" t="s">
        <v>86</v>
      </c>
      <c r="F10" s="30" t="s">
        <v>107</v>
      </c>
      <c r="G10" s="30" t="s">
        <v>108</v>
      </c>
    </row>
    <row r="11" ht="24.0" customHeight="1">
      <c r="A11" s="43" t="s">
        <v>109</v>
      </c>
      <c r="B11" s="24" t="s">
        <v>110</v>
      </c>
      <c r="C11" s="45" t="s">
        <v>111</v>
      </c>
      <c r="D11" s="24" t="s">
        <v>112</v>
      </c>
      <c r="E11" s="45" t="s">
        <v>86</v>
      </c>
      <c r="F11" s="24" t="s">
        <v>113</v>
      </c>
      <c r="G11" s="24" t="s">
        <v>114</v>
      </c>
    </row>
    <row r="12" ht="24.0" customHeight="1">
      <c r="A12" s="39" t="s">
        <v>115</v>
      </c>
      <c r="B12" s="30" t="s">
        <v>116</v>
      </c>
      <c r="C12" s="41" t="s">
        <v>117</v>
      </c>
      <c r="D12" s="30" t="s">
        <v>118</v>
      </c>
      <c r="E12" s="41" t="s">
        <v>119</v>
      </c>
      <c r="F12" s="30" t="s">
        <v>120</v>
      </c>
      <c r="G12" s="30" t="s">
        <v>121</v>
      </c>
    </row>
    <row r="13" ht="24.0" customHeight="1">
      <c r="A13" s="43" t="s">
        <v>122</v>
      </c>
      <c r="B13" s="24" t="s">
        <v>123</v>
      </c>
      <c r="C13" s="45" t="s">
        <v>124</v>
      </c>
      <c r="D13" s="24" t="s">
        <v>125</v>
      </c>
      <c r="E13" s="45" t="s">
        <v>126</v>
      </c>
      <c r="F13" s="24" t="s">
        <v>127</v>
      </c>
      <c r="G13" s="24" t="s">
        <v>128</v>
      </c>
    </row>
    <row r="15">
      <c r="A15" s="9" t="s">
        <v>129</v>
      </c>
    </row>
    <row r="16" ht="21.75" customHeight="1">
      <c r="A16" s="49" t="s">
        <v>64</v>
      </c>
      <c r="B16" s="49" t="s">
        <v>65</v>
      </c>
      <c r="C16" s="49" t="s">
        <v>66</v>
      </c>
      <c r="D16" s="49" t="s">
        <v>67</v>
      </c>
      <c r="E16" s="49" t="s">
        <v>68</v>
      </c>
      <c r="F16" s="49" t="s">
        <v>70</v>
      </c>
      <c r="G16" s="49" t="s">
        <v>71</v>
      </c>
    </row>
    <row r="17" ht="24.0" customHeight="1">
      <c r="A17" s="43" t="s">
        <v>130</v>
      </c>
      <c r="B17" s="24" t="s">
        <v>131</v>
      </c>
      <c r="C17" s="45" t="s">
        <v>132</v>
      </c>
      <c r="D17" s="24" t="s">
        <v>134</v>
      </c>
      <c r="E17" s="45" t="s">
        <v>135</v>
      </c>
      <c r="F17" s="24" t="s">
        <v>136</v>
      </c>
      <c r="G17" s="24" t="s">
        <v>138</v>
      </c>
    </row>
    <row r="18" ht="24.0" customHeight="1">
      <c r="A18" s="39" t="s">
        <v>139</v>
      </c>
      <c r="B18" s="30" t="s">
        <v>141</v>
      </c>
      <c r="C18" s="41" t="s">
        <v>143</v>
      </c>
      <c r="D18" s="30" t="s">
        <v>144</v>
      </c>
      <c r="E18" s="41" t="s">
        <v>147</v>
      </c>
      <c r="F18" s="30" t="s">
        <v>149</v>
      </c>
      <c r="G18" s="30" t="s">
        <v>151</v>
      </c>
    </row>
    <row r="19" ht="24.0" customHeight="1">
      <c r="A19" s="43" t="s">
        <v>152</v>
      </c>
      <c r="B19" s="24" t="s">
        <v>153</v>
      </c>
      <c r="C19" s="45" t="s">
        <v>155</v>
      </c>
      <c r="D19" s="24" t="s">
        <v>156</v>
      </c>
      <c r="E19" s="45" t="s">
        <v>86</v>
      </c>
      <c r="F19" s="24" t="s">
        <v>157</v>
      </c>
      <c r="G19" s="24" t="s">
        <v>158</v>
      </c>
    </row>
    <row r="20" ht="24.0" customHeight="1">
      <c r="A20" s="39" t="s">
        <v>159</v>
      </c>
      <c r="B20" s="30" t="s">
        <v>160</v>
      </c>
      <c r="C20" s="41" t="s">
        <v>161</v>
      </c>
      <c r="D20" s="30" t="s">
        <v>162</v>
      </c>
      <c r="E20" s="41" t="s">
        <v>163</v>
      </c>
      <c r="F20" s="30" t="s">
        <v>164</v>
      </c>
      <c r="G20" s="30" t="s">
        <v>165</v>
      </c>
    </row>
    <row r="21" ht="24.0" customHeight="1">
      <c r="A21" s="43" t="s">
        <v>166</v>
      </c>
      <c r="B21" s="24" t="s">
        <v>167</v>
      </c>
      <c r="C21" s="45" t="s">
        <v>168</v>
      </c>
      <c r="D21" s="24" t="s">
        <v>169</v>
      </c>
      <c r="E21" s="45" t="s">
        <v>86</v>
      </c>
      <c r="F21" s="24" t="s">
        <v>170</v>
      </c>
      <c r="G21" s="24" t="s">
        <v>171</v>
      </c>
    </row>
    <row r="22" ht="24.0" customHeight="1">
      <c r="A22" s="39" t="s">
        <v>172</v>
      </c>
      <c r="B22" s="30" t="s">
        <v>173</v>
      </c>
      <c r="C22" s="41" t="s">
        <v>174</v>
      </c>
      <c r="D22" s="30" t="s">
        <v>175</v>
      </c>
      <c r="E22" s="41" t="s">
        <v>176</v>
      </c>
      <c r="F22" s="30" t="s">
        <v>177</v>
      </c>
      <c r="G22" s="30" t="s">
        <v>178</v>
      </c>
    </row>
    <row r="23" ht="24.0" customHeight="1">
      <c r="A23" s="43" t="s">
        <v>43</v>
      </c>
      <c r="B23" s="24" t="s">
        <v>179</v>
      </c>
      <c r="C23" s="45" t="s">
        <v>180</v>
      </c>
      <c r="D23" s="24" t="s">
        <v>181</v>
      </c>
      <c r="E23" s="45" t="s">
        <v>182</v>
      </c>
      <c r="F23" s="24" t="s">
        <v>183</v>
      </c>
      <c r="G23" s="24" t="s">
        <v>184</v>
      </c>
    </row>
    <row r="24" ht="24.0" customHeight="1">
      <c r="A24" s="39" t="s">
        <v>185</v>
      </c>
      <c r="B24" s="30" t="s">
        <v>186</v>
      </c>
      <c r="C24" s="41" t="s">
        <v>187</v>
      </c>
      <c r="D24" s="30" t="s">
        <v>189</v>
      </c>
      <c r="E24" s="41" t="s">
        <v>190</v>
      </c>
      <c r="F24" s="30" t="s">
        <v>191</v>
      </c>
      <c r="G24" s="30" t="s">
        <v>192</v>
      </c>
    </row>
    <row r="25" ht="24.0" customHeight="1">
      <c r="A25" s="43" t="s">
        <v>109</v>
      </c>
      <c r="B25" s="24" t="s">
        <v>110</v>
      </c>
      <c r="C25" s="45" t="s">
        <v>197</v>
      </c>
      <c r="D25" s="24" t="s">
        <v>199</v>
      </c>
      <c r="E25" s="45" t="s">
        <v>86</v>
      </c>
      <c r="F25" s="24" t="s">
        <v>200</v>
      </c>
      <c r="G25" s="24" t="s">
        <v>201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2.0"/>
    <col customWidth="1" min="3" max="3" width="24.0"/>
    <col customWidth="1" min="4" max="4" width="48.0"/>
    <col customWidth="1" min="5" max="5" width="30.0"/>
    <col customWidth="1" min="6" max="6" width="28.0"/>
    <col customWidth="1" min="7" max="26" width="8.71"/>
  </cols>
  <sheetData>
    <row r="1">
      <c r="A1" s="4" t="s">
        <v>291</v>
      </c>
      <c r="B1" s="3"/>
      <c r="C1" s="3"/>
      <c r="D1" s="3"/>
      <c r="E1" s="3"/>
      <c r="F1" s="5"/>
    </row>
    <row r="2">
      <c r="A2" s="6"/>
      <c r="B2" s="7"/>
      <c r="C2" s="7"/>
      <c r="D2" s="7"/>
      <c r="E2" s="7"/>
      <c r="F2" s="8"/>
    </row>
    <row r="4" ht="24.0" customHeight="1">
      <c r="A4" s="36" t="s">
        <v>292</v>
      </c>
      <c r="B4" s="36" t="s">
        <v>293</v>
      </c>
      <c r="C4" s="36" t="s">
        <v>294</v>
      </c>
      <c r="D4" s="36" t="s">
        <v>295</v>
      </c>
      <c r="E4" s="36" t="s">
        <v>296</v>
      </c>
      <c r="F4" s="36" t="s">
        <v>297</v>
      </c>
    </row>
    <row r="5" ht="36.0" customHeight="1">
      <c r="A5" s="43" t="s">
        <v>298</v>
      </c>
      <c r="B5" s="57" t="s">
        <v>300</v>
      </c>
      <c r="C5" s="45" t="s">
        <v>305</v>
      </c>
      <c r="D5" s="24" t="s">
        <v>307</v>
      </c>
      <c r="E5" s="45" t="s">
        <v>309</v>
      </c>
      <c r="F5" s="45" t="s">
        <v>311</v>
      </c>
    </row>
    <row r="6" ht="36.0" customHeight="1">
      <c r="A6" s="39" t="s">
        <v>314</v>
      </c>
      <c r="B6" s="58" t="s">
        <v>315</v>
      </c>
      <c r="C6" s="41" t="s">
        <v>320</v>
      </c>
      <c r="D6" s="30" t="s">
        <v>321</v>
      </c>
      <c r="E6" s="41" t="s">
        <v>322</v>
      </c>
      <c r="F6" s="41" t="s">
        <v>311</v>
      </c>
    </row>
    <row r="7" ht="36.0" customHeight="1">
      <c r="A7" s="43" t="s">
        <v>323</v>
      </c>
      <c r="B7" s="57" t="s">
        <v>324</v>
      </c>
      <c r="C7" s="45" t="s">
        <v>326</v>
      </c>
      <c r="D7" s="24" t="s">
        <v>329</v>
      </c>
      <c r="E7" s="45" t="s">
        <v>331</v>
      </c>
      <c r="F7" s="45" t="s">
        <v>311</v>
      </c>
    </row>
    <row r="8" ht="36.0" customHeight="1">
      <c r="A8" s="39" t="s">
        <v>265</v>
      </c>
      <c r="B8" s="58" t="s">
        <v>332</v>
      </c>
      <c r="C8" s="41" t="s">
        <v>333</v>
      </c>
      <c r="D8" s="30" t="s">
        <v>334</v>
      </c>
      <c r="E8" s="41" t="s">
        <v>335</v>
      </c>
      <c r="F8" s="41" t="s">
        <v>311</v>
      </c>
    </row>
    <row r="9" ht="36.0" customHeight="1">
      <c r="A9" s="43" t="s">
        <v>214</v>
      </c>
      <c r="B9" s="57" t="s">
        <v>336</v>
      </c>
      <c r="C9" s="45" t="s">
        <v>342</v>
      </c>
      <c r="D9" s="24" t="s">
        <v>343</v>
      </c>
      <c r="E9" s="45" t="s">
        <v>344</v>
      </c>
      <c r="F9" s="45" t="s">
        <v>345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hyperlinks>
    <hyperlink r:id="rId1" ref="B5"/>
    <hyperlink r:id="rId2" ref="B6"/>
    <hyperlink r:id="rId3" ref="B7"/>
    <hyperlink r:id="rId4" ref="B8"/>
    <hyperlink r:id="rId5" ref="B9"/>
  </hyperlinks>
  <printOptions/>
  <pageMargins bottom="1.0" footer="0.0" header="0.0" left="0.75" right="0.75" top="1.0"/>
  <pageSetup orientation="landscape"/>
  <drawing r:id="rId6"/>
</worksheet>
</file>